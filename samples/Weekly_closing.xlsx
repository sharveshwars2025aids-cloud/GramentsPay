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7046675475ce98b/Desktop/garmesnts-automation_zip/garmesnts-automation/samples/"/>
    </mc:Choice>
  </mc:AlternateContent>
  <xr:revisionPtr revIDLastSave="3" documentId="13_ncr:1_{A3379BFE-935D-4E81-83BF-A40AE96F70B6}" xr6:coauthVersionLast="47" xr6:coauthVersionMax="47" xr10:uidLastSave="{FA4394C1-0D2F-4614-8F61-8AD82F874A00}"/>
  <bookViews>
    <workbookView xWindow="-96" yWindow="0" windowWidth="11712" windowHeight="12336" xr2:uid="{00000000-000D-0000-FFFF-FFFF00000000}"/>
  </bookViews>
  <sheets>
    <sheet name="TALRS-HELPRS" sheetId="24" r:id="rId1"/>
    <sheet name="PC RATE-OTHERS" sheetId="3" r:id="rId2"/>
    <sheet name="BANK -TRANSFER" sheetId="5" r:id="rId3"/>
    <sheet name="SALARY" sheetId="4" r:id="rId4"/>
    <sheet name="PT-SHIFT" sheetId="91" r:id="rId5"/>
    <sheet name="PT-SHIFT (2)" sheetId="97" r:id="rId6"/>
    <sheet name="PT-SHIFT (3)" sheetId="96" r:id="rId7"/>
  </sheets>
  <definedNames>
    <definedName name="_xlnm.Print_Area" localSheetId="2">'BANK -TRANSFER'!$A$2:$E$61</definedName>
    <definedName name="_xlnm.Print_Area" localSheetId="4">'PT-SHIFT'!$B$4:$I$55</definedName>
    <definedName name="_xlnm.Print_Area" localSheetId="5">'PT-SHIFT (2)'!$B$4:$I$55</definedName>
    <definedName name="_xlnm.Print_Area" localSheetId="6">'PT-SHIFT (3)'!$B$4:$I$55</definedName>
    <definedName name="_xlnm.Print_Area" localSheetId="3">SALARY!$B$2:$F$38</definedName>
    <definedName name="_xlnm.Print_Area" localSheetId="0">'TALRS-HELPRS'!$B$2:$I$62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1" i="3" l="1"/>
  <c r="F83" i="3" s="1"/>
  <c r="H59" i="24" l="1"/>
  <c r="H60" i="24"/>
  <c r="H64" i="97"/>
  <c r="H63" i="97"/>
  <c r="H62" i="97"/>
  <c r="H61" i="97"/>
  <c r="H60" i="97"/>
  <c r="H59" i="97"/>
  <c r="H65" i="97" s="1"/>
  <c r="H53" i="97"/>
  <c r="H52" i="97"/>
  <c r="H51" i="97"/>
  <c r="H50" i="97"/>
  <c r="H49" i="97"/>
  <c r="H48" i="97"/>
  <c r="F42" i="97"/>
  <c r="H42" i="97" s="1"/>
  <c r="H41" i="97"/>
  <c r="H40" i="97"/>
  <c r="H39" i="97"/>
  <c r="H38" i="97"/>
  <c r="H37" i="97"/>
  <c r="H36" i="97"/>
  <c r="H35" i="97"/>
  <c r="H34" i="97"/>
  <c r="H33" i="97"/>
  <c r="H32" i="97"/>
  <c r="H31" i="97"/>
  <c r="H30" i="97"/>
  <c r="H29" i="97"/>
  <c r="H28" i="97"/>
  <c r="H27" i="97"/>
  <c r="H26" i="97"/>
  <c r="H25" i="97"/>
  <c r="H24" i="97"/>
  <c r="H23" i="97"/>
  <c r="H22" i="97"/>
  <c r="H21" i="97"/>
  <c r="H20" i="97"/>
  <c r="H19" i="97"/>
  <c r="H18" i="97"/>
  <c r="H17" i="97"/>
  <c r="H16" i="97"/>
  <c r="H15" i="97"/>
  <c r="H14" i="97"/>
  <c r="H13" i="97"/>
  <c r="H12" i="97"/>
  <c r="H11" i="97"/>
  <c r="H10" i="97"/>
  <c r="H9" i="97"/>
  <c r="H8" i="97"/>
  <c r="H7" i="97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54" i="97" l="1"/>
  <c r="H43" i="97"/>
  <c r="J43" i="97" s="1"/>
  <c r="F64" i="3"/>
  <c r="F34" i="4" l="1"/>
  <c r="F63" i="3"/>
  <c r="F66" i="3" s="1"/>
  <c r="F55" i="3" l="1"/>
  <c r="F93" i="3"/>
  <c r="F94" i="3"/>
  <c r="F92" i="3"/>
  <c r="F57" i="3" l="1"/>
  <c r="H64" i="96"/>
  <c r="H63" i="96"/>
  <c r="H62" i="96"/>
  <c r="H61" i="96"/>
  <c r="H60" i="96"/>
  <c r="H59" i="96"/>
  <c r="H65" i="96" s="1"/>
  <c r="H53" i="96"/>
  <c r="H52" i="96"/>
  <c r="H51" i="96"/>
  <c r="H50" i="96"/>
  <c r="H49" i="96"/>
  <c r="H48" i="96"/>
  <c r="F42" i="96"/>
  <c r="H42" i="96" s="1"/>
  <c r="H41" i="96"/>
  <c r="H40" i="96"/>
  <c r="H39" i="96"/>
  <c r="H38" i="96"/>
  <c r="H37" i="96"/>
  <c r="H36" i="96"/>
  <c r="H35" i="96"/>
  <c r="H34" i="96"/>
  <c r="H33" i="96"/>
  <c r="H32" i="96"/>
  <c r="H31" i="96"/>
  <c r="H30" i="96"/>
  <c r="H29" i="96"/>
  <c r="H28" i="96"/>
  <c r="H27" i="96"/>
  <c r="H26" i="96"/>
  <c r="H25" i="96"/>
  <c r="H24" i="96"/>
  <c r="H23" i="96"/>
  <c r="H22" i="96"/>
  <c r="H21" i="96"/>
  <c r="H20" i="96"/>
  <c r="H19" i="96"/>
  <c r="H18" i="96"/>
  <c r="H17" i="96"/>
  <c r="H16" i="96"/>
  <c r="H15" i="96"/>
  <c r="H14" i="96"/>
  <c r="H13" i="96"/>
  <c r="H12" i="96"/>
  <c r="H11" i="96"/>
  <c r="H10" i="96"/>
  <c r="H9" i="96"/>
  <c r="H8" i="96"/>
  <c r="H7" i="96"/>
  <c r="H54" i="96" l="1"/>
  <c r="H43" i="96"/>
  <c r="H38" i="91"/>
  <c r="H22" i="91"/>
  <c r="F33" i="4" l="1"/>
  <c r="F73" i="3" l="1"/>
  <c r="F72" i="3"/>
  <c r="F32" i="4"/>
  <c r="F91" i="3"/>
  <c r="F95" i="3"/>
  <c r="F96" i="3"/>
  <c r="F97" i="3"/>
  <c r="F98" i="3"/>
  <c r="F99" i="3"/>
  <c r="F100" i="3"/>
  <c r="F90" i="3" l="1"/>
  <c r="H51" i="24" l="1"/>
  <c r="H52" i="91"/>
  <c r="F42" i="91" l="1"/>
  <c r="F36" i="4" l="1"/>
  <c r="F35" i="4"/>
  <c r="F75" i="3"/>
  <c r="E61" i="5" l="1"/>
  <c r="F89" i="3"/>
  <c r="F102" i="3" s="1"/>
  <c r="H8" i="91" l="1"/>
  <c r="H9" i="91"/>
  <c r="H10" i="91"/>
  <c r="H11" i="91"/>
  <c r="H12" i="91"/>
  <c r="H13" i="91"/>
  <c r="H14" i="91"/>
  <c r="H15" i="91"/>
  <c r="H16" i="91"/>
  <c r="H17" i="91"/>
  <c r="H18" i="91"/>
  <c r="H19" i="91"/>
  <c r="H20" i="91"/>
  <c r="H21" i="91"/>
  <c r="H23" i="91"/>
  <c r="H24" i="91"/>
  <c r="H25" i="91"/>
  <c r="H26" i="91"/>
  <c r="H27" i="91"/>
  <c r="H28" i="91"/>
  <c r="H29" i="91"/>
  <c r="H30" i="91"/>
  <c r="H31" i="91"/>
  <c r="H32" i="91"/>
  <c r="H33" i="91"/>
  <c r="H34" i="91"/>
  <c r="H35" i="91"/>
  <c r="H36" i="91"/>
  <c r="H37" i="91"/>
  <c r="H39" i="91"/>
  <c r="H40" i="91"/>
  <c r="H41" i="91"/>
  <c r="H42" i="91"/>
  <c r="H64" i="91"/>
  <c r="H63" i="91"/>
  <c r="H62" i="91"/>
  <c r="H61" i="91"/>
  <c r="H60" i="91"/>
  <c r="H59" i="91"/>
  <c r="H53" i="91"/>
  <c r="H51" i="91"/>
  <c r="H50" i="91"/>
  <c r="H49" i="91"/>
  <c r="H48" i="91"/>
  <c r="H7" i="91"/>
  <c r="H54" i="91" l="1"/>
  <c r="H65" i="91"/>
  <c r="H43" i="91"/>
  <c r="F31" i="4" l="1"/>
  <c r="E48" i="3" l="1"/>
  <c r="E49" i="3" s="1"/>
  <c r="E107" i="3" l="1"/>
  <c r="E108" i="3" s="1"/>
  <c r="C43" i="3" l="1"/>
  <c r="H6" i="24" l="1"/>
  <c r="H61" i="24" l="1"/>
  <c r="H52" i="24" l="1"/>
  <c r="F38" i="4"/>
  <c r="H44" i="24" l="1"/>
  <c r="H45" i="24" s="1"/>
  <c r="E24" i="4" l="1"/>
  <c r="E26" i="4" s="1"/>
  <c r="E36" i="3" l="1"/>
  <c r="H58" i="24" l="1"/>
  <c r="H62" i="24" s="1"/>
  <c r="E12" i="3" l="1"/>
  <c r="H7" i="24"/>
  <c r="H5" i="24"/>
  <c r="H8" i="24" l="1"/>
  <c r="D38" i="4"/>
  <c r="E22" i="4" l="1"/>
  <c r="H50" i="24"/>
  <c r="H53" i="24" s="1"/>
  <c r="E17" i="3"/>
  <c r="E18" i="3" s="1"/>
  <c r="E28" i="3"/>
  <c r="E6" i="3"/>
</calcChain>
</file>

<file path=xl/sharedStrings.xml><?xml version="1.0" encoding="utf-8"?>
<sst xmlns="http://schemas.openxmlformats.org/spreadsheetml/2006/main" count="955" uniqueCount="197">
  <si>
    <t>NAME</t>
  </si>
  <si>
    <t>ITEM</t>
  </si>
  <si>
    <t>SALARY</t>
  </si>
  <si>
    <t>UMA</t>
  </si>
  <si>
    <t>TOTAL</t>
  </si>
  <si>
    <t>POWER TABLE-  PC RATE</t>
  </si>
  <si>
    <t>SENTHILKUMAR</t>
  </si>
  <si>
    <t>CHECKING -  PC RATE</t>
  </si>
  <si>
    <t>LAKSHMI.B</t>
  </si>
  <si>
    <t>MAHESWARI</t>
  </si>
  <si>
    <t>SELVARANI</t>
  </si>
  <si>
    <t>IRONING -  PC RATE</t>
  </si>
  <si>
    <t>SELVARAJ</t>
  </si>
  <si>
    <t>SHIFT</t>
  </si>
  <si>
    <t>O/L+F/L</t>
  </si>
  <si>
    <t>ALL ROUNDER</t>
  </si>
  <si>
    <t>O/L</t>
  </si>
  <si>
    <t>KAPIL</t>
  </si>
  <si>
    <t>SUPERVISOR</t>
  </si>
  <si>
    <t>HELPERS(TAMIL)</t>
  </si>
  <si>
    <t>GENERAL EXPENSES</t>
  </si>
  <si>
    <t>EXPENSES</t>
  </si>
  <si>
    <t>FLOWER</t>
  </si>
  <si>
    <t>ESWARI(SWEEPER)</t>
  </si>
  <si>
    <t>KUMAR(B.CLEANER)</t>
  </si>
  <si>
    <t>STYLE</t>
  </si>
  <si>
    <t>QTY</t>
  </si>
  <si>
    <t>RATE</t>
  </si>
  <si>
    <t xml:space="preserve"> TOTAL</t>
  </si>
  <si>
    <t>PACKING-KUMAR</t>
  </si>
  <si>
    <t>DEPT</t>
  </si>
  <si>
    <t>S.NO</t>
  </si>
  <si>
    <t>DEPARTMENT</t>
  </si>
  <si>
    <t xml:space="preserve"> SALARY</t>
  </si>
  <si>
    <t>POWER TABLE PC RATE</t>
  </si>
  <si>
    <t>PC RATE CHECKING</t>
  </si>
  <si>
    <t>IRONING</t>
  </si>
  <si>
    <t xml:space="preserve"> </t>
  </si>
  <si>
    <t>HELPER - TAMIL</t>
  </si>
  <si>
    <t>TOTAL SALARY</t>
  </si>
  <si>
    <t>BANK TRANSFER</t>
  </si>
  <si>
    <t>PARTICULARS</t>
  </si>
  <si>
    <t>AMT</t>
  </si>
  <si>
    <t>TTL PRODUCTION QTY</t>
  </si>
  <si>
    <t xml:space="preserve">    </t>
  </si>
  <si>
    <t>S.No</t>
  </si>
  <si>
    <t>S/N PC RATE</t>
  </si>
  <si>
    <t>PT.PC RATE</t>
  </si>
  <si>
    <t>PC RATE CHKG</t>
  </si>
  <si>
    <t>HELPER</t>
  </si>
  <si>
    <t>PACKING</t>
  </si>
  <si>
    <t>GENERAL EXP</t>
  </si>
  <si>
    <t>ESWARI</t>
  </si>
  <si>
    <t>SWEEPER</t>
  </si>
  <si>
    <t>ANANDHAKUMAR (HOUSE KEEPER )</t>
  </si>
  <si>
    <t>HILLS TOP EXPORTS</t>
  </si>
  <si>
    <t>MUTHANAMPALAYAM</t>
  </si>
  <si>
    <t>TIRUPPUR.</t>
  </si>
  <si>
    <t>KALAIARASI</t>
  </si>
  <si>
    <t>KALIAPPAN</t>
  </si>
  <si>
    <t>SINGER-  PC RATE</t>
  </si>
  <si>
    <t>SINGER PC RATE</t>
  </si>
  <si>
    <t>KANTHA(FLOWER)</t>
  </si>
  <si>
    <t>LOGANAYAKI</t>
  </si>
  <si>
    <t>THULASI</t>
  </si>
  <si>
    <t>O/L+S/N</t>
  </si>
  <si>
    <t>ARJUN BARATI</t>
  </si>
  <si>
    <t>KAPIL COMMISSION</t>
  </si>
  <si>
    <t>HELPER - KAPIL</t>
  </si>
  <si>
    <t>POWERTABLE (KAPIL)</t>
  </si>
  <si>
    <t>JAYAMANI</t>
  </si>
  <si>
    <t>MANOHAR</t>
  </si>
  <si>
    <t>POWERTABLE (TAMIL)</t>
  </si>
  <si>
    <t>RAHUL PATEL</t>
  </si>
  <si>
    <t>JOTHI KUMAR</t>
  </si>
  <si>
    <t xml:space="preserve">VINOD </t>
  </si>
  <si>
    <t>VINOD</t>
  </si>
  <si>
    <t>AMARJITH</t>
  </si>
  <si>
    <t>S/N</t>
  </si>
  <si>
    <t>NATHUNI</t>
  </si>
  <si>
    <t>ANUJ ARMO</t>
  </si>
  <si>
    <t>SHIFT CHECKING</t>
  </si>
  <si>
    <t>LAKSHMI.A</t>
  </si>
  <si>
    <t>SHIFT CKHG</t>
  </si>
  <si>
    <t>FLOWER,SWEEPERS,GENERAL EXP</t>
  </si>
  <si>
    <t>SRIDHAR</t>
  </si>
  <si>
    <t>VIPASA</t>
  </si>
  <si>
    <t>VINAY</t>
  </si>
  <si>
    <t>LALLAN</t>
  </si>
  <si>
    <t>RAHUL</t>
  </si>
  <si>
    <t>LAKHMI.A</t>
  </si>
  <si>
    <t>ARUN KUMAR</t>
  </si>
  <si>
    <t xml:space="preserve">                                                                                                                                </t>
  </si>
  <si>
    <t>KULDEEP</t>
  </si>
  <si>
    <t>INDHUMATHI</t>
  </si>
  <si>
    <t>SHARAFAT</t>
  </si>
  <si>
    <t>VIMAL KUMAR</t>
  </si>
  <si>
    <t>SARANYA</t>
  </si>
  <si>
    <t>SANJEP KUMAR</t>
  </si>
  <si>
    <t>URMILA DEVI</t>
  </si>
  <si>
    <t>USHA KUMARI</t>
  </si>
  <si>
    <t>SIRAJ SHEKH</t>
  </si>
  <si>
    <t>AKTHAR REZA</t>
  </si>
  <si>
    <t>SHARAFAT HUSSAIN</t>
  </si>
  <si>
    <t>ROHIT KUMAR</t>
  </si>
  <si>
    <t>ARVIND KUMAR</t>
  </si>
  <si>
    <t>RAMOO KUMAR</t>
  </si>
  <si>
    <t>RAJU KUMAR</t>
  </si>
  <si>
    <t>ARVINDKUMAR</t>
  </si>
  <si>
    <t>GOVIND KUMAR</t>
  </si>
  <si>
    <t>BALARAM PRASAD</t>
  </si>
  <si>
    <t>TOP</t>
  </si>
  <si>
    <t>RAMOO KUMAR/ROHIT KUMAR</t>
  </si>
  <si>
    <t>HELPERS(KAPIL)</t>
  </si>
  <si>
    <t>BHARATI MARKAM</t>
  </si>
  <si>
    <t>RITURAJ</t>
  </si>
  <si>
    <t>PRITI KHURSENGA</t>
  </si>
  <si>
    <t>DIPANJALI NETAM</t>
  </si>
  <si>
    <t>DEEPAK</t>
  </si>
  <si>
    <t>DINESWARI</t>
  </si>
  <si>
    <t>AM KAJA BUTTON</t>
  </si>
  <si>
    <t>AM KAJA</t>
  </si>
  <si>
    <t>BUTTON</t>
  </si>
  <si>
    <t>VIDHYA</t>
  </si>
  <si>
    <t>ASHOK KUMAR</t>
  </si>
  <si>
    <t>MUNJAY KUMAR</t>
  </si>
  <si>
    <t>BXR/DRS</t>
  </si>
  <si>
    <t>SECURITY</t>
  </si>
  <si>
    <t>DAYS</t>
  </si>
  <si>
    <t>MANICKAM</t>
  </si>
  <si>
    <t>SECURITY-CASH PAYMENT</t>
  </si>
  <si>
    <t>UPENDAR</t>
  </si>
  <si>
    <t>RUKMANI</t>
  </si>
  <si>
    <t>TANISHA</t>
  </si>
  <si>
    <t>OIL</t>
  </si>
  <si>
    <t>PCS</t>
  </si>
  <si>
    <t>VST,TOP</t>
  </si>
  <si>
    <t>SLEEPSUIT</t>
  </si>
  <si>
    <t>AMIT KUMAR</t>
  </si>
  <si>
    <t>SUMITHRA</t>
  </si>
  <si>
    <t>TOP/PANT (2 PCS PACK)</t>
  </si>
  <si>
    <t>ROMPER</t>
  </si>
  <si>
    <t>TANISHA/PRITI</t>
  </si>
  <si>
    <t>S.SUT/TP/DRS</t>
  </si>
  <si>
    <t>TP/B.SUT</t>
  </si>
  <si>
    <t>PE101PJFS26</t>
  </si>
  <si>
    <t>POWER TABLE SHIFT</t>
  </si>
  <si>
    <t>POWER TABLE SHIFT-HINDI (KAPIL)</t>
  </si>
  <si>
    <t>LOGAMMAL</t>
  </si>
  <si>
    <t>PEP023S26</t>
  </si>
  <si>
    <t>PE095PJFS26</t>
  </si>
  <si>
    <t>PE096PJFS26</t>
  </si>
  <si>
    <t>BODYSUIT (2 PCS PACK)</t>
  </si>
  <si>
    <t>PE105PJFS26</t>
  </si>
  <si>
    <t>BOOTIES (2 PCS PACK)</t>
  </si>
  <si>
    <t>PE106PJFS26</t>
  </si>
  <si>
    <t>HEAD BAND (2 PCS PACK)</t>
  </si>
  <si>
    <t>PE099PJFS26</t>
  </si>
  <si>
    <t>DRESS</t>
  </si>
  <si>
    <t>PE097PJFS26</t>
  </si>
  <si>
    <t>PE098PJFS26</t>
  </si>
  <si>
    <t>NIKHIL</t>
  </si>
  <si>
    <t>NAVAL</t>
  </si>
  <si>
    <t>27TH MAR-2ND APR  HILLS TOP EXPORTS</t>
  </si>
  <si>
    <t>27TH MAR-2ND APR HILLS TOP EXPORTS</t>
  </si>
  <si>
    <t>SARVESWARA CHECKING CENTER</t>
  </si>
  <si>
    <t>ANNAPOORANI CHECKING CENTER</t>
  </si>
  <si>
    <t>DUNGAREE SET (2 PCS PACK)</t>
  </si>
  <si>
    <t>K52-A6-30-401</t>
  </si>
  <si>
    <t>B.VEST (3 PCS PACK)</t>
  </si>
  <si>
    <t>B.VEST (STICKER)</t>
  </si>
  <si>
    <t>RED AOP TOP</t>
  </si>
  <si>
    <t>YELLOW BADGE</t>
  </si>
  <si>
    <t>PEACH DUNGAREE (2 KAJA)</t>
  </si>
  <si>
    <t>PEP043S26</t>
  </si>
  <si>
    <t>NAVY STRIPES TOP (2 BUTTON)</t>
  </si>
  <si>
    <t>PE045S26 (TOP)</t>
  </si>
  <si>
    <t>PEV007S26 (ROMPER)</t>
  </si>
  <si>
    <t>PEP043S26 (TOP)</t>
  </si>
  <si>
    <t>PEP043S26 (TOP)(BADGE)</t>
  </si>
  <si>
    <t>PESS01S26 (SLEEPSUIT)</t>
  </si>
  <si>
    <t>PEP026S26 (SHRTS)(IRNG)</t>
  </si>
  <si>
    <t>SALARY CONSOLIDATION 27/03/26 TO 02/04/26</t>
  </si>
  <si>
    <t>27 MAR-2 APR PRODUCTION DETAILS</t>
  </si>
  <si>
    <t>HILLS TOP SALARY  BANK TRANSFER  27/03/26 TO 02/04/26</t>
  </si>
  <si>
    <t>GREEN BADGE</t>
  </si>
  <si>
    <t>VIPASA/DIPANJALI</t>
  </si>
  <si>
    <t>BHARATI MARKAM/DINESWARI</t>
  </si>
  <si>
    <t>KRISHNASAMY</t>
  </si>
  <si>
    <t>SARVESWARA CKG</t>
  </si>
  <si>
    <t>ANNAPOORANI CKG</t>
  </si>
  <si>
    <t>ANNAPOORANI</t>
  </si>
  <si>
    <t>POWER TABLE (TAMIL)</t>
  </si>
  <si>
    <t>POWER TABLE (KAPIL)</t>
  </si>
  <si>
    <t>FUSING</t>
  </si>
  <si>
    <t>BLACK</t>
  </si>
  <si>
    <t>BACK FUSING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</si>
</sst>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Book Antiqua"/>
      <family val="1"/>
    </font>
    <font>
      <sz val="16"/>
      <color theme="1"/>
      <name val="Book Antiqua"/>
      <family val="1"/>
    </font>
    <font>
      <sz val="14"/>
      <color theme="1"/>
      <name val="Book Antiqua"/>
      <family val="1"/>
    </font>
    <font>
      <sz val="16"/>
      <name val="Book Antiqua"/>
      <family val="1"/>
    </font>
    <font>
      <sz val="14"/>
      <name val="Book Antiqua"/>
      <family val="1"/>
    </font>
    <font>
      <b/>
      <sz val="20"/>
      <color theme="1"/>
      <name val="Book Antiqua"/>
      <family val="1"/>
    </font>
    <font>
      <b/>
      <sz val="16"/>
      <name val="Book Antiqua"/>
      <family val="1"/>
    </font>
    <font>
      <u/>
      <sz val="11"/>
      <color theme="10"/>
      <name val="Calibri"/>
      <family val="2"/>
      <scheme val="minor"/>
    </font>
    <font>
      <sz val="12"/>
      <name val="Book Antiqua"/>
      <family val="1"/>
    </font>
    <font>
      <sz val="28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color rgb="FFFF0000"/>
      <name val="Calibri"/>
      <family val="2"/>
      <scheme val="minor"/>
    </font>
    <font>
      <b/>
      <sz val="18"/>
      <color theme="1"/>
      <name val="Book Antiqua"/>
      <family val="1"/>
    </font>
    <font>
      <b/>
      <sz val="20"/>
      <color theme="1"/>
      <name val="Calibri"/>
      <family val="2"/>
      <scheme val="minor"/>
    </font>
    <font>
      <b/>
      <sz val="28"/>
      <color theme="1"/>
      <name val="Book Antiqua"/>
      <family val="1"/>
    </font>
    <font>
      <sz val="11"/>
      <color theme="1"/>
      <name val="Book Antiqua"/>
      <family val="1"/>
    </font>
    <font>
      <sz val="11"/>
      <name val="Calibri"/>
      <family val="2"/>
      <scheme val="minor"/>
    </font>
    <font>
      <b/>
      <sz val="14"/>
      <name val="Book Antiqua"/>
      <family val="1"/>
    </font>
    <font>
      <sz val="12"/>
      <color theme="1"/>
      <name val="Book Antiqua"/>
      <family val="1"/>
    </font>
    <font>
      <sz val="18"/>
      <name val="Book Antiqua"/>
      <family val="1"/>
    </font>
    <font>
      <b/>
      <sz val="20"/>
      <name val="Book Antiqua"/>
      <family val="1"/>
    </font>
    <font>
      <sz val="18"/>
      <color theme="1"/>
      <name val="Book Antiqua"/>
      <family val="1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Book Antiqua"/>
      <family val="1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6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6" fillId="0" borderId="10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right" wrapText="1"/>
    </xf>
    <xf numFmtId="0" fontId="7" fillId="0" borderId="16" xfId="0" applyFont="1" applyBorder="1" applyAlignment="1">
      <alignment horizontal="left"/>
    </xf>
    <xf numFmtId="0" fontId="6" fillId="0" borderId="1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wrapText="1"/>
    </xf>
    <xf numFmtId="1" fontId="6" fillId="0" borderId="0" xfId="0" applyNumberFormat="1" applyFont="1" applyAlignment="1">
      <alignment horizontal="right"/>
    </xf>
    <xf numFmtId="0" fontId="4" fillId="0" borderId="15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/>
    </xf>
    <xf numFmtId="1" fontId="7" fillId="0" borderId="29" xfId="0" applyNumberFormat="1" applyFont="1" applyBorder="1" applyAlignment="1">
      <alignment horizontal="center"/>
    </xf>
    <xf numFmtId="0" fontId="7" fillId="0" borderId="20" xfId="0" applyFont="1" applyBorder="1" applyAlignment="1">
      <alignment horizontal="center" vertical="top" wrapText="1"/>
    </xf>
    <xf numFmtId="1" fontId="7" fillId="0" borderId="0" xfId="0" applyNumberFormat="1" applyFont="1" applyAlignment="1">
      <alignment horizontal="center"/>
    </xf>
    <xf numFmtId="0" fontId="4" fillId="0" borderId="3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2" xfId="0" quotePrefix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/>
    </xf>
    <xf numFmtId="1" fontId="7" fillId="0" borderId="34" xfId="0" applyNumberFormat="1" applyFont="1" applyBorder="1" applyAlignment="1">
      <alignment horizontal="right"/>
    </xf>
    <xf numFmtId="0" fontId="11" fillId="0" borderId="37" xfId="0" applyFont="1" applyBorder="1"/>
    <xf numFmtId="1" fontId="7" fillId="0" borderId="23" xfId="0" applyNumberFormat="1" applyFont="1" applyBorder="1" applyAlignment="1">
      <alignment horizontal="right"/>
    </xf>
    <xf numFmtId="0" fontId="7" fillId="0" borderId="13" xfId="0" applyFont="1" applyBorder="1" applyAlignment="1">
      <alignment horizontal="center" vertical="top" wrapText="1"/>
    </xf>
    <xf numFmtId="0" fontId="7" fillId="0" borderId="35" xfId="0" quotePrefix="1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4" fillId="0" borderId="44" xfId="0" applyFont="1" applyBorder="1"/>
    <xf numFmtId="0" fontId="15" fillId="0" borderId="0" xfId="0" applyFont="1"/>
    <xf numFmtId="0" fontId="12" fillId="0" borderId="49" xfId="0" applyFont="1" applyBorder="1"/>
    <xf numFmtId="0" fontId="16" fillId="0" borderId="0" xfId="0" applyFont="1"/>
    <xf numFmtId="0" fontId="12" fillId="0" borderId="0" xfId="0" applyFont="1"/>
    <xf numFmtId="0" fontId="3" fillId="0" borderId="0" xfId="0" applyFont="1"/>
    <xf numFmtId="0" fontId="3" fillId="0" borderId="31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4" fillId="0" borderId="38" xfId="0" applyNumberFormat="1" applyFont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4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1" fillId="0" borderId="50" xfId="0" quotePrefix="1" applyFont="1" applyBorder="1" applyAlignment="1">
      <alignment horizontal="center"/>
    </xf>
    <xf numFmtId="0" fontId="11" fillId="0" borderId="17" xfId="0" applyFont="1" applyBorder="1" applyAlignment="1">
      <alignment wrapText="1"/>
    </xf>
    <xf numFmtId="0" fontId="11" fillId="0" borderId="17" xfId="0" applyFont="1" applyBorder="1" applyAlignment="1">
      <alignment horizontal="center"/>
    </xf>
    <xf numFmtId="0" fontId="11" fillId="0" borderId="6" xfId="0" applyFont="1" applyBorder="1" applyAlignment="1">
      <alignment wrapText="1"/>
    </xf>
    <xf numFmtId="0" fontId="11" fillId="0" borderId="6" xfId="0" applyFont="1" applyBorder="1" applyAlignment="1">
      <alignment horizontal="center"/>
    </xf>
    <xf numFmtId="0" fontId="11" fillId="0" borderId="6" xfId="0" applyFont="1" applyBorder="1"/>
    <xf numFmtId="0" fontId="11" fillId="0" borderId="6" xfId="0" applyFont="1" applyBorder="1" applyAlignment="1">
      <alignment horizontal="left"/>
    </xf>
    <xf numFmtId="0" fontId="22" fillId="0" borderId="25" xfId="0" applyFont="1" applyBorder="1" applyAlignment="1">
      <alignment horizontal="center"/>
    </xf>
    <xf numFmtId="0" fontId="22" fillId="0" borderId="34" xfId="0" applyFont="1" applyBorder="1" applyAlignment="1">
      <alignment horizontal="right"/>
    </xf>
    <xf numFmtId="0" fontId="4" fillId="0" borderId="26" xfId="0" applyFont="1" applyBorder="1"/>
    <xf numFmtId="0" fontId="18" fillId="0" borderId="16" xfId="0" quotePrefix="1" applyFont="1" applyBorder="1" applyAlignment="1">
      <alignment horizontal="center"/>
    </xf>
    <xf numFmtId="0" fontId="24" fillId="0" borderId="38" xfId="0" quotePrefix="1" applyFont="1" applyBorder="1" applyAlignment="1">
      <alignment horizontal="right"/>
    </xf>
    <xf numFmtId="0" fontId="18" fillId="0" borderId="0" xfId="0" quotePrefix="1" applyFont="1" applyAlignment="1">
      <alignment horizontal="center"/>
    </xf>
    <xf numFmtId="0" fontId="6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6" fillId="0" borderId="3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" fontId="6" fillId="0" borderId="0" xfId="1" applyNumberFormat="1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right" wrapText="1"/>
    </xf>
    <xf numFmtId="0" fontId="4" fillId="0" borderId="0" xfId="0" applyFont="1"/>
    <xf numFmtId="0" fontId="26" fillId="0" borderId="0" xfId="0" applyFont="1"/>
    <xf numFmtId="0" fontId="27" fillId="0" borderId="0" xfId="0" applyFont="1"/>
    <xf numFmtId="0" fontId="4" fillId="0" borderId="53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164" fontId="2" fillId="0" borderId="0" xfId="2" applyFont="1"/>
    <xf numFmtId="0" fontId="6" fillId="0" borderId="38" xfId="0" applyFont="1" applyBorder="1" applyAlignment="1">
      <alignment horizontal="left"/>
    </xf>
    <xf numFmtId="0" fontId="4" fillId="0" borderId="35" xfId="0" applyFont="1" applyBorder="1" applyAlignment="1">
      <alignment horizontal="center" wrapText="1"/>
    </xf>
    <xf numFmtId="0" fontId="2" fillId="0" borderId="38" xfId="0" applyFont="1" applyBorder="1"/>
    <xf numFmtId="0" fontId="9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6" fillId="0" borderId="7" xfId="0" applyNumberFormat="1" applyFont="1" applyBorder="1" applyAlignment="1">
      <alignment horizontal="right"/>
    </xf>
    <xf numFmtId="0" fontId="7" fillId="0" borderId="10" xfId="0" applyFont="1" applyBorder="1" applyAlignment="1">
      <alignment horizontal="center"/>
    </xf>
    <xf numFmtId="0" fontId="4" fillId="0" borderId="38" xfId="0" applyFont="1" applyBorder="1"/>
    <xf numFmtId="0" fontId="18" fillId="0" borderId="44" xfId="0" quotePrefix="1" applyFont="1" applyBorder="1" applyAlignment="1">
      <alignment horizontal="center"/>
    </xf>
    <xf numFmtId="0" fontId="18" fillId="0" borderId="49" xfId="0" quotePrefix="1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36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6" fillId="0" borderId="22" xfId="0" applyFont="1" applyBorder="1" applyAlignment="1">
      <alignment horizontal="right"/>
    </xf>
    <xf numFmtId="0" fontId="9" fillId="0" borderId="20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6" fillId="0" borderId="7" xfId="0" applyFont="1" applyBorder="1" applyAlignment="1">
      <alignment horizontal="right" wrapText="1"/>
    </xf>
    <xf numFmtId="1" fontId="0" fillId="0" borderId="0" xfId="0" applyNumberFormat="1"/>
    <xf numFmtId="0" fontId="6" fillId="0" borderId="38" xfId="0" applyFont="1" applyBorder="1" applyAlignment="1">
      <alignment horizontal="center"/>
    </xf>
    <xf numFmtId="1" fontId="6" fillId="0" borderId="46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" fontId="6" fillId="0" borderId="53" xfId="1" applyNumberFormat="1" applyFont="1" applyBorder="1" applyAlignment="1">
      <alignment horizontal="center" wrapText="1"/>
    </xf>
    <xf numFmtId="0" fontId="28" fillId="0" borderId="0" xfId="0" applyFont="1"/>
    <xf numFmtId="0" fontId="28" fillId="0" borderId="0" xfId="0" applyFont="1" applyAlignment="1">
      <alignment horizontal="center"/>
    </xf>
    <xf numFmtId="0" fontId="5" fillId="0" borderId="9" xfId="0" applyFont="1" applyBorder="1" applyAlignment="1">
      <alignment horizontal="right" wrapText="1"/>
    </xf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horizontal="right" wrapText="1"/>
    </xf>
    <xf numFmtId="1" fontId="4" fillId="0" borderId="23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38" xfId="0" applyFont="1" applyBorder="1" applyAlignment="1">
      <alignment horizontal="center" wrapText="1"/>
    </xf>
    <xf numFmtId="0" fontId="6" fillId="0" borderId="38" xfId="0" applyFont="1" applyBorder="1" applyAlignment="1">
      <alignment horizontal="center" wrapText="1"/>
    </xf>
    <xf numFmtId="0" fontId="5" fillId="0" borderId="16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6" xfId="0" applyFont="1" applyBorder="1"/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 wrapText="1" readingOrder="1"/>
    </xf>
    <xf numFmtId="0" fontId="7" fillId="0" borderId="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6" fillId="0" borderId="25" xfId="0" applyFont="1" applyBorder="1" applyAlignment="1">
      <alignment horizontal="right"/>
    </xf>
    <xf numFmtId="0" fontId="6" fillId="0" borderId="2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8" fillId="0" borderId="41" xfId="0" quotePrefix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6" fillId="0" borderId="55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1" xfId="0" applyFont="1" applyBorder="1"/>
    <xf numFmtId="0" fontId="9" fillId="0" borderId="2" xfId="0" applyFont="1" applyBorder="1" applyAlignment="1">
      <alignment horizontal="left" wrapText="1"/>
    </xf>
    <xf numFmtId="1" fontId="6" fillId="0" borderId="3" xfId="0" applyNumberFormat="1" applyFont="1" applyBorder="1" applyAlignment="1">
      <alignment horizontal="right"/>
    </xf>
    <xf numFmtId="0" fontId="23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43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wrapText="1"/>
    </xf>
    <xf numFmtId="0" fontId="7" fillId="0" borderId="43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56" xfId="0" applyFont="1" applyBorder="1" applyAlignment="1">
      <alignment horizontal="center" wrapText="1"/>
    </xf>
    <xf numFmtId="0" fontId="6" fillId="0" borderId="57" xfId="0" applyFont="1" applyBorder="1" applyAlignment="1">
      <alignment horizontal="center"/>
    </xf>
    <xf numFmtId="1" fontId="7" fillId="0" borderId="58" xfId="0" applyNumberFormat="1" applyFont="1" applyBorder="1" applyAlignment="1">
      <alignment horizontal="right"/>
    </xf>
    <xf numFmtId="0" fontId="7" fillId="0" borderId="6" xfId="0" quotePrefix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right"/>
    </xf>
    <xf numFmtId="0" fontId="29" fillId="0" borderId="36" xfId="0" applyFont="1" applyBorder="1" applyAlignment="1">
      <alignment horizontal="left" vertical="center"/>
    </xf>
    <xf numFmtId="0" fontId="29" fillId="0" borderId="43" xfId="0" applyFont="1" applyBorder="1" applyAlignment="1">
      <alignment horizontal="center" vertical="center"/>
    </xf>
    <xf numFmtId="0" fontId="29" fillId="0" borderId="19" xfId="0" applyFont="1" applyBorder="1" applyAlignment="1">
      <alignment horizontal="left"/>
    </xf>
    <xf numFmtId="0" fontId="29" fillId="0" borderId="36" xfId="0" applyFont="1" applyBorder="1" applyAlignment="1">
      <alignment horizontal="left"/>
    </xf>
    <xf numFmtId="0" fontId="7" fillId="0" borderId="36" xfId="0" quotePrefix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1" fontId="7" fillId="0" borderId="0" xfId="0" applyNumberFormat="1" applyFont="1" applyAlignment="1">
      <alignment horizontal="right"/>
    </xf>
    <xf numFmtId="0" fontId="4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0" borderId="6" xfId="0" applyFont="1" applyBorder="1" applyAlignment="1">
      <alignment horizontal="center" vertical="top" wrapText="1"/>
    </xf>
    <xf numFmtId="1" fontId="7" fillId="0" borderId="6" xfId="0" applyNumberFormat="1" applyFont="1" applyBorder="1" applyAlignment="1">
      <alignment horizontal="center"/>
    </xf>
    <xf numFmtId="1" fontId="6" fillId="0" borderId="23" xfId="1" applyNumberFormat="1" applyFont="1" applyBorder="1" applyAlignment="1">
      <alignment horizontal="center" wrapText="1"/>
    </xf>
    <xf numFmtId="0" fontId="21" fillId="0" borderId="47" xfId="0" applyFont="1" applyBorder="1" applyAlignment="1">
      <alignment horizontal="center"/>
    </xf>
    <xf numFmtId="0" fontId="21" fillId="0" borderId="6" xfId="0" applyFont="1" applyBorder="1" applyAlignment="1">
      <alignment horizontal="left"/>
    </xf>
    <xf numFmtId="0" fontId="21" fillId="0" borderId="15" xfId="0" applyFont="1" applyBorder="1" applyAlignment="1">
      <alignment wrapText="1"/>
    </xf>
    <xf numFmtId="0" fontId="20" fillId="0" borderId="39" xfId="0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29" fillId="0" borderId="42" xfId="0" applyFont="1" applyBorder="1" applyAlignment="1">
      <alignment horizontal="left" vertical="center"/>
    </xf>
    <xf numFmtId="0" fontId="6" fillId="0" borderId="57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4" fillId="0" borderId="30" xfId="0" applyFont="1" applyBorder="1" applyAlignment="1">
      <alignment horizontal="center" wrapText="1"/>
    </xf>
    <xf numFmtId="0" fontId="4" fillId="0" borderId="3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6" fillId="0" borderId="4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5" fillId="0" borderId="40" xfId="0" applyFont="1" applyBorder="1" applyAlignment="1">
      <alignment horizontal="center" wrapText="1"/>
    </xf>
    <xf numFmtId="0" fontId="5" fillId="0" borderId="39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2" xfId="0" applyFont="1" applyBorder="1" applyAlignment="1">
      <alignment horizontal="center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B35C-83D9-44E0-9F8E-BD3FD083C67A}">
  <sheetPr>
    <pageSetUpPr fitToPage="1"/>
  </sheetPr>
  <dimension ref="B1:I68"/>
  <sheetViews>
    <sheetView tabSelected="1" topLeftCell="L1" zoomScale="23" zoomScaleNormal="100" workbookViewId="0">
      <selection activeCell="Y22" sqref="Y22"/>
    </sheetView>
  </sheetViews>
  <sheetFormatPr defaultColWidth="8.88671875" defaultRowHeight="21" x14ac:dyDescent="0.4"/>
  <cols>
    <col min="1" max="1" width="7.44140625" style="1" customWidth="1"/>
    <col min="2" max="2" width="7.5546875" style="1" customWidth="1"/>
    <col min="3" max="3" width="29.109375" style="84" customWidth="1"/>
    <col min="4" max="4" width="19" style="2" customWidth="1"/>
    <col min="5" max="5" width="24.6640625" style="1" customWidth="1"/>
    <col min="6" max="6" width="11.33203125" style="84" customWidth="1"/>
    <col min="7" max="7" width="9.5546875" style="84" customWidth="1"/>
    <col min="8" max="8" width="14.88671875" style="1" customWidth="1"/>
    <col min="9" max="9" width="12.109375" style="1" customWidth="1"/>
    <col min="10" max="10" width="8.88671875" style="1"/>
    <col min="11" max="11" width="10.5546875" style="1" bestFit="1" customWidth="1"/>
    <col min="12" max="16384" width="8.88671875" style="1"/>
  </cols>
  <sheetData>
    <row r="1" spans="2:8" ht="21.6" thickBot="1" x14ac:dyDescent="0.45">
      <c r="C1" s="5"/>
      <c r="D1" s="5"/>
      <c r="E1" s="5"/>
    </row>
    <row r="2" spans="2:8" ht="21.6" thickBot="1" x14ac:dyDescent="0.45">
      <c r="B2" s="194" t="s">
        <v>164</v>
      </c>
      <c r="C2" s="195"/>
      <c r="D2" s="195"/>
      <c r="E2" s="195"/>
      <c r="F2" s="195"/>
      <c r="G2" s="195"/>
      <c r="H2" s="196"/>
    </row>
    <row r="3" spans="2:8" ht="21.6" thickBot="1" x14ac:dyDescent="0.45">
      <c r="B3" s="197" t="s">
        <v>192</v>
      </c>
      <c r="C3" s="198"/>
      <c r="D3" s="198"/>
      <c r="E3" s="198"/>
      <c r="F3" s="198"/>
      <c r="G3" s="198"/>
      <c r="H3" s="199"/>
    </row>
    <row r="4" spans="2:8" ht="21.6" thickBot="1" x14ac:dyDescent="0.45">
      <c r="B4" s="70" t="s">
        <v>31</v>
      </c>
      <c r="C4" s="112" t="s">
        <v>0</v>
      </c>
      <c r="D4" s="89"/>
      <c r="E4" s="90" t="s">
        <v>1</v>
      </c>
      <c r="F4" s="74" t="s">
        <v>13</v>
      </c>
      <c r="G4" s="8"/>
      <c r="H4" s="9" t="s">
        <v>2</v>
      </c>
    </row>
    <row r="5" spans="2:8" x14ac:dyDescent="0.4">
      <c r="B5" s="71">
        <v>1</v>
      </c>
      <c r="C5" s="12" t="s">
        <v>58</v>
      </c>
      <c r="D5" s="120" t="s">
        <v>78</v>
      </c>
      <c r="E5" s="135" t="s">
        <v>143</v>
      </c>
      <c r="F5" s="10">
        <v>8.75</v>
      </c>
      <c r="G5" s="185">
        <v>370</v>
      </c>
      <c r="H5" s="119">
        <f>F5*G5</f>
        <v>3237.5</v>
      </c>
    </row>
    <row r="6" spans="2:8" x14ac:dyDescent="0.4">
      <c r="B6" s="71">
        <v>2</v>
      </c>
      <c r="C6" s="12" t="s">
        <v>64</v>
      </c>
      <c r="D6" s="120" t="s">
        <v>78</v>
      </c>
      <c r="E6" s="135" t="s">
        <v>143</v>
      </c>
      <c r="F6" s="10">
        <v>4.25</v>
      </c>
      <c r="G6" s="136">
        <v>410</v>
      </c>
      <c r="H6" s="119">
        <f>F6*G6</f>
        <v>1742.5</v>
      </c>
    </row>
    <row r="7" spans="2:8" ht="21.6" thickBot="1" x14ac:dyDescent="0.45">
      <c r="B7" s="71">
        <v>3</v>
      </c>
      <c r="C7" s="12" t="s">
        <v>123</v>
      </c>
      <c r="D7" s="141" t="s">
        <v>15</v>
      </c>
      <c r="E7" s="135" t="s">
        <v>143</v>
      </c>
      <c r="F7" s="10">
        <v>8.5</v>
      </c>
      <c r="G7" s="136">
        <v>490</v>
      </c>
      <c r="H7" s="119">
        <f>F7*G7</f>
        <v>4165</v>
      </c>
    </row>
    <row r="8" spans="2:8" ht="21.6" thickBot="1" x14ac:dyDescent="0.45">
      <c r="B8" s="91"/>
      <c r="C8" s="92"/>
      <c r="D8" s="93"/>
      <c r="E8" s="203" t="s">
        <v>4</v>
      </c>
      <c r="F8" s="189"/>
      <c r="G8" s="94"/>
      <c r="H8" s="95">
        <f>SUM(H5:H7)</f>
        <v>9145</v>
      </c>
    </row>
    <row r="9" spans="2:8" ht="21.6" thickBot="1" x14ac:dyDescent="0.45">
      <c r="C9" s="108"/>
      <c r="D9" s="109"/>
      <c r="E9" s="80"/>
      <c r="F9" s="80"/>
      <c r="G9" s="80"/>
      <c r="H9" s="16"/>
    </row>
    <row r="10" spans="2:8" ht="25.8" thickBot="1" x14ac:dyDescent="0.5">
      <c r="B10" s="204" t="s">
        <v>163</v>
      </c>
      <c r="C10" s="205"/>
      <c r="D10" s="205"/>
      <c r="E10" s="205"/>
      <c r="F10" s="205"/>
      <c r="G10" s="205"/>
      <c r="H10" s="206"/>
    </row>
    <row r="11" spans="2:8" ht="21.6" thickBot="1" x14ac:dyDescent="0.45">
      <c r="B11" s="197" t="s">
        <v>193</v>
      </c>
      <c r="C11" s="198"/>
      <c r="D11" s="198"/>
      <c r="E11" s="198"/>
      <c r="F11" s="198"/>
      <c r="G11" s="198"/>
      <c r="H11" s="199"/>
    </row>
    <row r="12" spans="2:8" ht="21.6" thickBot="1" x14ac:dyDescent="0.45">
      <c r="B12" s="97" t="s">
        <v>31</v>
      </c>
      <c r="C12" s="100" t="s">
        <v>0</v>
      </c>
      <c r="D12" s="132"/>
      <c r="E12" s="133" t="s">
        <v>1</v>
      </c>
      <c r="F12" s="94" t="s">
        <v>13</v>
      </c>
      <c r="G12" s="184"/>
      <c r="H12" s="27" t="s">
        <v>2</v>
      </c>
    </row>
    <row r="13" spans="2:8" x14ac:dyDescent="0.4">
      <c r="B13" s="140">
        <v>1</v>
      </c>
      <c r="C13" s="104" t="s">
        <v>102</v>
      </c>
      <c r="D13" s="10" t="s">
        <v>14</v>
      </c>
      <c r="E13" s="135" t="s">
        <v>143</v>
      </c>
      <c r="F13" s="143">
        <v>8.75</v>
      </c>
      <c r="G13" s="154">
        <v>410</v>
      </c>
      <c r="H13" s="119">
        <f>F13*G13</f>
        <v>3587.5</v>
      </c>
    </row>
    <row r="14" spans="2:8" x14ac:dyDescent="0.4">
      <c r="B14" s="140">
        <v>2</v>
      </c>
      <c r="C14" s="104" t="s">
        <v>77</v>
      </c>
      <c r="D14" s="10" t="s">
        <v>14</v>
      </c>
      <c r="E14" s="135" t="s">
        <v>143</v>
      </c>
      <c r="F14" s="143">
        <v>7.75</v>
      </c>
      <c r="G14" s="154">
        <v>450</v>
      </c>
      <c r="H14" s="119">
        <f t="shared" ref="H14:H43" si="0">F14*G14</f>
        <v>3487.5</v>
      </c>
    </row>
    <row r="15" spans="2:8" x14ac:dyDescent="0.4">
      <c r="B15" s="140">
        <v>3</v>
      </c>
      <c r="C15" s="104" t="s">
        <v>138</v>
      </c>
      <c r="D15" s="142" t="s">
        <v>15</v>
      </c>
      <c r="E15" s="135" t="s">
        <v>143</v>
      </c>
      <c r="F15" s="143">
        <v>8.75</v>
      </c>
      <c r="G15" s="154">
        <v>525</v>
      </c>
      <c r="H15" s="119">
        <f t="shared" si="0"/>
        <v>4593.75</v>
      </c>
    </row>
    <row r="16" spans="2:8" x14ac:dyDescent="0.4">
      <c r="B16" s="140">
        <v>4</v>
      </c>
      <c r="C16" s="102" t="s">
        <v>66</v>
      </c>
      <c r="D16" s="10" t="s">
        <v>14</v>
      </c>
      <c r="E16" s="135" t="s">
        <v>143</v>
      </c>
      <c r="F16" s="143">
        <v>9</v>
      </c>
      <c r="G16" s="154">
        <v>440</v>
      </c>
      <c r="H16" s="119">
        <f t="shared" si="0"/>
        <v>3960</v>
      </c>
    </row>
    <row r="17" spans="2:8" x14ac:dyDescent="0.4">
      <c r="B17" s="140">
        <v>5</v>
      </c>
      <c r="C17" s="102" t="s">
        <v>91</v>
      </c>
      <c r="D17" s="10" t="s">
        <v>14</v>
      </c>
      <c r="E17" s="135" t="s">
        <v>143</v>
      </c>
      <c r="F17" s="143">
        <v>6.5</v>
      </c>
      <c r="G17" s="154">
        <v>470</v>
      </c>
      <c r="H17" s="119">
        <f t="shared" si="0"/>
        <v>3055</v>
      </c>
    </row>
    <row r="18" spans="2:8" x14ac:dyDescent="0.4">
      <c r="B18" s="140">
        <v>6</v>
      </c>
      <c r="C18" s="103" t="s">
        <v>105</v>
      </c>
      <c r="D18" s="10" t="s">
        <v>14</v>
      </c>
      <c r="E18" s="135" t="s">
        <v>143</v>
      </c>
      <c r="F18" s="143">
        <v>8.5</v>
      </c>
      <c r="G18" s="154">
        <v>495</v>
      </c>
      <c r="H18" s="119">
        <f t="shared" si="0"/>
        <v>4207.5</v>
      </c>
    </row>
    <row r="19" spans="2:8" x14ac:dyDescent="0.4">
      <c r="B19" s="140">
        <v>7</v>
      </c>
      <c r="C19" s="103" t="s">
        <v>124</v>
      </c>
      <c r="D19" s="10" t="s">
        <v>14</v>
      </c>
      <c r="E19" s="135" t="s">
        <v>143</v>
      </c>
      <c r="F19" s="143">
        <v>8.75</v>
      </c>
      <c r="G19" s="154">
        <v>460</v>
      </c>
      <c r="H19" s="119">
        <f t="shared" si="0"/>
        <v>4025</v>
      </c>
    </row>
    <row r="20" spans="2:8" x14ac:dyDescent="0.4">
      <c r="B20" s="140">
        <v>8</v>
      </c>
      <c r="C20" s="103" t="s">
        <v>110</v>
      </c>
      <c r="D20" s="10" t="s">
        <v>14</v>
      </c>
      <c r="E20" s="135" t="s">
        <v>143</v>
      </c>
      <c r="F20" s="143">
        <v>8.75</v>
      </c>
      <c r="G20" s="154">
        <v>470</v>
      </c>
      <c r="H20" s="119">
        <f t="shared" si="0"/>
        <v>4112.5</v>
      </c>
    </row>
    <row r="21" spans="2:8" x14ac:dyDescent="0.4">
      <c r="B21" s="140">
        <v>9</v>
      </c>
      <c r="C21" s="103" t="s">
        <v>118</v>
      </c>
      <c r="D21" s="141" t="s">
        <v>14</v>
      </c>
      <c r="E21" s="135" t="s">
        <v>143</v>
      </c>
      <c r="F21" s="143">
        <v>7.25</v>
      </c>
      <c r="G21" s="154">
        <v>470</v>
      </c>
      <c r="H21" s="119">
        <f t="shared" si="0"/>
        <v>3407.5</v>
      </c>
    </row>
    <row r="22" spans="2:8" x14ac:dyDescent="0.4">
      <c r="B22" s="140">
        <v>10</v>
      </c>
      <c r="C22" s="104" t="s">
        <v>109</v>
      </c>
      <c r="D22" s="141" t="s">
        <v>16</v>
      </c>
      <c r="E22" s="135" t="s">
        <v>143</v>
      </c>
      <c r="F22" s="143">
        <v>8.5</v>
      </c>
      <c r="G22" s="154">
        <v>390</v>
      </c>
      <c r="H22" s="119">
        <f t="shared" si="0"/>
        <v>3315</v>
      </c>
    </row>
    <row r="23" spans="2:8" x14ac:dyDescent="0.4">
      <c r="B23" s="140">
        <v>11</v>
      </c>
      <c r="C23" s="102" t="s">
        <v>17</v>
      </c>
      <c r="D23" s="10" t="s">
        <v>18</v>
      </c>
      <c r="E23" s="135" t="s">
        <v>143</v>
      </c>
      <c r="F23" s="143">
        <v>9</v>
      </c>
      <c r="G23" s="154">
        <v>610</v>
      </c>
      <c r="H23" s="119">
        <f t="shared" si="0"/>
        <v>5490</v>
      </c>
    </row>
    <row r="24" spans="2:8" x14ac:dyDescent="0.4">
      <c r="B24" s="140">
        <v>12</v>
      </c>
      <c r="C24" s="103" t="s">
        <v>93</v>
      </c>
      <c r="D24" s="141" t="s">
        <v>16</v>
      </c>
      <c r="E24" s="135" t="s">
        <v>143</v>
      </c>
      <c r="F24" s="143">
        <v>9</v>
      </c>
      <c r="G24" s="154">
        <v>430</v>
      </c>
      <c r="H24" s="119">
        <f t="shared" si="0"/>
        <v>3870</v>
      </c>
    </row>
    <row r="25" spans="2:8" x14ac:dyDescent="0.4">
      <c r="B25" s="140">
        <v>13</v>
      </c>
      <c r="C25" s="104" t="s">
        <v>88</v>
      </c>
      <c r="D25" s="141" t="s">
        <v>15</v>
      </c>
      <c r="E25" s="135" t="s">
        <v>143</v>
      </c>
      <c r="F25" s="143">
        <v>6.5</v>
      </c>
      <c r="G25" s="154">
        <v>525</v>
      </c>
      <c r="H25" s="119">
        <f t="shared" si="0"/>
        <v>3412.5</v>
      </c>
    </row>
    <row r="26" spans="2:8" x14ac:dyDescent="0.4">
      <c r="B26" s="140">
        <v>14</v>
      </c>
      <c r="C26" s="104" t="s">
        <v>125</v>
      </c>
      <c r="D26" s="141" t="s">
        <v>15</v>
      </c>
      <c r="E26" s="135" t="s">
        <v>143</v>
      </c>
      <c r="F26" s="143">
        <v>8.75</v>
      </c>
      <c r="G26" s="154">
        <v>500</v>
      </c>
      <c r="H26" s="119">
        <f t="shared" si="0"/>
        <v>4375</v>
      </c>
    </row>
    <row r="27" spans="2:8" x14ac:dyDescent="0.4">
      <c r="B27" s="140">
        <v>15</v>
      </c>
      <c r="C27" s="103" t="s">
        <v>79</v>
      </c>
      <c r="D27" s="141" t="s">
        <v>65</v>
      </c>
      <c r="E27" s="135" t="s">
        <v>143</v>
      </c>
      <c r="F27" s="143">
        <v>8.75</v>
      </c>
      <c r="G27" s="154">
        <v>495</v>
      </c>
      <c r="H27" s="119">
        <f t="shared" si="0"/>
        <v>4331.25</v>
      </c>
    </row>
    <row r="28" spans="2:8" x14ac:dyDescent="0.4">
      <c r="B28" s="140">
        <v>16</v>
      </c>
      <c r="C28" s="103" t="s">
        <v>161</v>
      </c>
      <c r="D28" s="141" t="s">
        <v>16</v>
      </c>
      <c r="E28" s="135" t="s">
        <v>143</v>
      </c>
      <c r="F28" s="143">
        <v>6</v>
      </c>
      <c r="G28" s="154">
        <v>410</v>
      </c>
      <c r="H28" s="119">
        <f t="shared" si="0"/>
        <v>2460</v>
      </c>
    </row>
    <row r="29" spans="2:8" x14ac:dyDescent="0.4">
      <c r="B29" s="140">
        <v>17</v>
      </c>
      <c r="C29" s="104" t="s">
        <v>89</v>
      </c>
      <c r="D29" s="10" t="s">
        <v>18</v>
      </c>
      <c r="E29" s="135" t="s">
        <v>143</v>
      </c>
      <c r="F29" s="143">
        <v>9</v>
      </c>
      <c r="G29" s="154">
        <v>610</v>
      </c>
      <c r="H29" s="119">
        <f t="shared" si="0"/>
        <v>5490</v>
      </c>
    </row>
    <row r="30" spans="2:8" x14ac:dyDescent="0.4">
      <c r="B30" s="140">
        <v>18</v>
      </c>
      <c r="C30" s="102" t="s">
        <v>73</v>
      </c>
      <c r="D30" s="10" t="s">
        <v>14</v>
      </c>
      <c r="E30" s="135" t="s">
        <v>143</v>
      </c>
      <c r="F30" s="143">
        <v>8.25</v>
      </c>
      <c r="G30" s="154">
        <v>470</v>
      </c>
      <c r="H30" s="119">
        <f t="shared" si="0"/>
        <v>3877.5</v>
      </c>
    </row>
    <row r="31" spans="2:8" x14ac:dyDescent="0.4">
      <c r="B31" s="140">
        <v>19</v>
      </c>
      <c r="C31" s="103" t="s">
        <v>107</v>
      </c>
      <c r="D31" s="10" t="s">
        <v>14</v>
      </c>
      <c r="E31" s="135" t="s">
        <v>143</v>
      </c>
      <c r="F31" s="143">
        <v>8.75</v>
      </c>
      <c r="G31" s="154">
        <v>470</v>
      </c>
      <c r="H31" s="119">
        <f t="shared" si="0"/>
        <v>4112.5</v>
      </c>
    </row>
    <row r="32" spans="2:8" x14ac:dyDescent="0.4">
      <c r="B32" s="140">
        <v>20</v>
      </c>
      <c r="C32" s="103" t="s">
        <v>106</v>
      </c>
      <c r="D32" s="10" t="s">
        <v>15</v>
      </c>
      <c r="E32" s="135" t="s">
        <v>143</v>
      </c>
      <c r="F32" s="143">
        <v>8.75</v>
      </c>
      <c r="G32" s="154">
        <v>500</v>
      </c>
      <c r="H32" s="119">
        <f t="shared" si="0"/>
        <v>4375</v>
      </c>
    </row>
    <row r="33" spans="2:9" x14ac:dyDescent="0.4">
      <c r="B33" s="140">
        <v>21</v>
      </c>
      <c r="C33" s="103" t="s">
        <v>101</v>
      </c>
      <c r="D33" s="142" t="s">
        <v>15</v>
      </c>
      <c r="E33" s="135" t="s">
        <v>143</v>
      </c>
      <c r="F33" s="143">
        <v>8.75</v>
      </c>
      <c r="G33" s="154">
        <v>505</v>
      </c>
      <c r="H33" s="119">
        <f t="shared" si="0"/>
        <v>4418.75</v>
      </c>
    </row>
    <row r="34" spans="2:9" x14ac:dyDescent="0.4">
      <c r="B34" s="140">
        <v>22</v>
      </c>
      <c r="C34" s="103" t="s">
        <v>131</v>
      </c>
      <c r="D34" s="142" t="s">
        <v>15</v>
      </c>
      <c r="E34" s="135" t="s">
        <v>143</v>
      </c>
      <c r="F34" s="143">
        <v>8.75</v>
      </c>
      <c r="G34" s="154">
        <v>500</v>
      </c>
      <c r="H34" s="119">
        <f t="shared" si="0"/>
        <v>4375</v>
      </c>
    </row>
    <row r="35" spans="2:9" x14ac:dyDescent="0.4">
      <c r="B35" s="140">
        <v>23</v>
      </c>
      <c r="C35" s="104" t="s">
        <v>87</v>
      </c>
      <c r="D35" s="141" t="s">
        <v>15</v>
      </c>
      <c r="E35" s="135" t="s">
        <v>143</v>
      </c>
      <c r="F35" s="143">
        <v>8.75</v>
      </c>
      <c r="G35" s="154">
        <v>550</v>
      </c>
      <c r="H35" s="119">
        <f t="shared" si="0"/>
        <v>4812.5</v>
      </c>
    </row>
    <row r="36" spans="2:9" x14ac:dyDescent="0.4">
      <c r="B36" s="140">
        <v>24</v>
      </c>
      <c r="C36" s="101" t="s">
        <v>75</v>
      </c>
      <c r="D36" s="134" t="s">
        <v>14</v>
      </c>
      <c r="E36" s="135" t="s">
        <v>143</v>
      </c>
      <c r="F36" s="143">
        <v>8.5</v>
      </c>
      <c r="G36" s="154">
        <v>480</v>
      </c>
      <c r="H36" s="119">
        <f t="shared" si="0"/>
        <v>4080</v>
      </c>
    </row>
    <row r="37" spans="2:9" x14ac:dyDescent="0.4">
      <c r="B37" s="140">
        <v>25</v>
      </c>
      <c r="C37" s="101" t="s">
        <v>114</v>
      </c>
      <c r="D37" s="134" t="s">
        <v>16</v>
      </c>
      <c r="E37" s="135" t="s">
        <v>143</v>
      </c>
      <c r="F37" s="143">
        <v>9</v>
      </c>
      <c r="G37" s="154">
        <v>370</v>
      </c>
      <c r="H37" s="119">
        <f t="shared" si="0"/>
        <v>3330</v>
      </c>
    </row>
    <row r="38" spans="2:9" x14ac:dyDescent="0.4">
      <c r="B38" s="140">
        <v>26</v>
      </c>
      <c r="C38" s="105" t="s">
        <v>119</v>
      </c>
      <c r="D38" s="134" t="s">
        <v>16</v>
      </c>
      <c r="E38" s="135" t="s">
        <v>143</v>
      </c>
      <c r="F38" s="143">
        <v>9</v>
      </c>
      <c r="G38" s="154">
        <v>370</v>
      </c>
      <c r="H38" s="119">
        <f t="shared" si="0"/>
        <v>3330</v>
      </c>
    </row>
    <row r="39" spans="2:9" x14ac:dyDescent="0.4">
      <c r="B39" s="140">
        <v>27</v>
      </c>
      <c r="C39" s="105" t="s">
        <v>115</v>
      </c>
      <c r="D39" s="134" t="s">
        <v>14</v>
      </c>
      <c r="E39" s="135" t="s">
        <v>143</v>
      </c>
      <c r="F39" s="143">
        <v>9</v>
      </c>
      <c r="G39" s="154">
        <v>410</v>
      </c>
      <c r="H39" s="119">
        <f t="shared" si="0"/>
        <v>3690</v>
      </c>
    </row>
    <row r="40" spans="2:9" x14ac:dyDescent="0.4">
      <c r="B40" s="140">
        <v>28</v>
      </c>
      <c r="C40" s="105" t="s">
        <v>132</v>
      </c>
      <c r="D40" s="134" t="s">
        <v>16</v>
      </c>
      <c r="E40" s="135" t="s">
        <v>143</v>
      </c>
      <c r="F40" s="143">
        <v>6</v>
      </c>
      <c r="G40" s="154">
        <v>360</v>
      </c>
      <c r="H40" s="119">
        <f t="shared" si="0"/>
        <v>2160</v>
      </c>
    </row>
    <row r="41" spans="2:9" x14ac:dyDescent="0.4">
      <c r="B41" s="140">
        <v>29</v>
      </c>
      <c r="C41" s="104" t="s">
        <v>139</v>
      </c>
      <c r="D41" s="141" t="s">
        <v>16</v>
      </c>
      <c r="E41" s="135" t="s">
        <v>143</v>
      </c>
      <c r="F41" s="143">
        <v>9</v>
      </c>
      <c r="G41" s="154">
        <v>420</v>
      </c>
      <c r="H41" s="119">
        <f t="shared" si="0"/>
        <v>3780</v>
      </c>
    </row>
    <row r="42" spans="2:9" x14ac:dyDescent="0.4">
      <c r="B42" s="140">
        <v>30</v>
      </c>
      <c r="C42" s="104" t="s">
        <v>133</v>
      </c>
      <c r="D42" s="134" t="s">
        <v>16</v>
      </c>
      <c r="E42" s="135" t="s">
        <v>143</v>
      </c>
      <c r="F42" s="143">
        <v>9</v>
      </c>
      <c r="G42" s="154">
        <v>360</v>
      </c>
      <c r="H42" s="119">
        <f t="shared" si="0"/>
        <v>3240</v>
      </c>
    </row>
    <row r="43" spans="2:9" x14ac:dyDescent="0.4">
      <c r="B43" s="140">
        <v>31</v>
      </c>
      <c r="C43" s="102" t="s">
        <v>86</v>
      </c>
      <c r="D43" s="10" t="s">
        <v>14</v>
      </c>
      <c r="E43" s="135" t="s">
        <v>143</v>
      </c>
      <c r="F43" s="143">
        <v>6.5</v>
      </c>
      <c r="G43" s="154">
        <v>440</v>
      </c>
      <c r="H43" s="119">
        <f t="shared" si="0"/>
        <v>2860</v>
      </c>
      <c r="I43" s="88"/>
    </row>
    <row r="44" spans="2:9" customFormat="1" ht="21.6" thickBot="1" x14ac:dyDescent="0.45">
      <c r="B44" s="98"/>
      <c r="C44" s="102" t="s">
        <v>67</v>
      </c>
      <c r="D44" s="10"/>
      <c r="E44" s="136"/>
      <c r="F44" s="136">
        <v>279.75</v>
      </c>
      <c r="G44" s="136">
        <v>10</v>
      </c>
      <c r="H44" s="119">
        <f>F44*G44</f>
        <v>2797.5</v>
      </c>
      <c r="I44" s="1"/>
    </row>
    <row r="45" spans="2:9" customFormat="1" ht="24" thickBot="1" x14ac:dyDescent="0.5">
      <c r="B45" s="99"/>
      <c r="C45" s="106"/>
      <c r="D45" s="137"/>
      <c r="E45" s="138" t="s">
        <v>4</v>
      </c>
      <c r="F45" s="138"/>
      <c r="G45" s="138"/>
      <c r="H45" s="72">
        <f>SUM(H13:H44)</f>
        <v>122418.75</v>
      </c>
      <c r="I45" s="1"/>
    </row>
    <row r="46" spans="2:9" ht="21.6" thickBot="1" x14ac:dyDescent="0.45"/>
    <row r="47" spans="2:9" ht="21.6" thickBot="1" x14ac:dyDescent="0.45">
      <c r="B47" s="194" t="s">
        <v>164</v>
      </c>
      <c r="C47" s="195"/>
      <c r="D47" s="195"/>
      <c r="E47" s="195"/>
      <c r="F47" s="195"/>
      <c r="G47" s="195"/>
      <c r="H47" s="196"/>
    </row>
    <row r="48" spans="2:9" ht="21.6" thickBot="1" x14ac:dyDescent="0.45">
      <c r="B48" s="197" t="s">
        <v>19</v>
      </c>
      <c r="C48" s="198"/>
      <c r="D48" s="198"/>
      <c r="E48" s="198"/>
      <c r="F48" s="198"/>
      <c r="G48" s="198"/>
      <c r="H48" s="199"/>
    </row>
    <row r="49" spans="2:8" ht="21.6" thickBot="1" x14ac:dyDescent="0.45">
      <c r="B49" s="97" t="s">
        <v>31</v>
      </c>
      <c r="C49" s="112" t="s">
        <v>0</v>
      </c>
      <c r="D49" s="190" t="s">
        <v>1</v>
      </c>
      <c r="E49" s="191"/>
      <c r="F49" s="112" t="s">
        <v>13</v>
      </c>
      <c r="G49" s="125"/>
      <c r="H49" s="124" t="s">
        <v>2</v>
      </c>
    </row>
    <row r="50" spans="2:8" x14ac:dyDescent="0.4">
      <c r="B50" s="71">
        <v>1</v>
      </c>
      <c r="C50" s="12" t="s">
        <v>94</v>
      </c>
      <c r="D50" s="192" t="s">
        <v>143</v>
      </c>
      <c r="E50" s="192"/>
      <c r="F50" s="10">
        <v>8.75</v>
      </c>
      <c r="G50" s="136">
        <v>360</v>
      </c>
      <c r="H50" s="121">
        <f t="shared" ref="H50:H52" si="1">F50*G50</f>
        <v>3150</v>
      </c>
    </row>
    <row r="51" spans="2:8" ht="27" customHeight="1" x14ac:dyDescent="0.4">
      <c r="B51" s="71">
        <v>2</v>
      </c>
      <c r="C51" s="12" t="s">
        <v>148</v>
      </c>
      <c r="D51" s="192" t="s">
        <v>143</v>
      </c>
      <c r="E51" s="192"/>
      <c r="F51" s="10">
        <v>2.5</v>
      </c>
      <c r="G51" s="136">
        <v>310</v>
      </c>
      <c r="H51" s="121">
        <f t="shared" ref="H51" si="2">F51*G51</f>
        <v>775</v>
      </c>
    </row>
    <row r="52" spans="2:8" ht="27" customHeight="1" thickBot="1" x14ac:dyDescent="0.45">
      <c r="B52" s="71">
        <v>3</v>
      </c>
      <c r="C52" s="12" t="s">
        <v>85</v>
      </c>
      <c r="D52" s="192" t="s">
        <v>143</v>
      </c>
      <c r="E52" s="192"/>
      <c r="F52" s="10">
        <v>8.75</v>
      </c>
      <c r="G52" s="136">
        <v>310</v>
      </c>
      <c r="H52" s="121">
        <f t="shared" si="1"/>
        <v>2712.5</v>
      </c>
    </row>
    <row r="53" spans="2:8" ht="21.6" thickBot="1" x14ac:dyDescent="0.45">
      <c r="B53" s="91"/>
      <c r="C53" s="92"/>
      <c r="D53" s="186"/>
      <c r="E53" s="188" t="s">
        <v>4</v>
      </c>
      <c r="F53" s="189"/>
      <c r="G53" s="94"/>
      <c r="H53" s="95">
        <f>SUM(H50:H52)</f>
        <v>6637.5</v>
      </c>
    </row>
    <row r="54" spans="2:8" ht="21.6" thickBot="1" x14ac:dyDescent="0.45"/>
    <row r="55" spans="2:8" ht="21.6" thickBot="1" x14ac:dyDescent="0.45">
      <c r="B55" s="194" t="s">
        <v>164</v>
      </c>
      <c r="C55" s="195"/>
      <c r="D55" s="195"/>
      <c r="E55" s="195"/>
      <c r="F55" s="195"/>
      <c r="G55" s="195"/>
      <c r="H55" s="196"/>
    </row>
    <row r="56" spans="2:8" ht="21.6" thickBot="1" x14ac:dyDescent="0.45">
      <c r="B56" s="197" t="s">
        <v>113</v>
      </c>
      <c r="C56" s="198"/>
      <c r="D56" s="198"/>
      <c r="E56" s="198"/>
      <c r="F56" s="198"/>
      <c r="G56" s="198"/>
      <c r="H56" s="199"/>
    </row>
    <row r="57" spans="2:8" ht="21.6" thickBot="1" x14ac:dyDescent="0.45">
      <c r="B57" s="97" t="s">
        <v>31</v>
      </c>
      <c r="C57" s="112" t="s">
        <v>0</v>
      </c>
      <c r="D57" s="200" t="s">
        <v>1</v>
      </c>
      <c r="E57" s="201"/>
      <c r="F57" s="112" t="s">
        <v>13</v>
      </c>
      <c r="G57" s="125"/>
      <c r="H57" s="124" t="s">
        <v>2</v>
      </c>
    </row>
    <row r="58" spans="2:8" x14ac:dyDescent="0.4">
      <c r="B58" s="71">
        <v>1</v>
      </c>
      <c r="C58" s="102" t="s">
        <v>162</v>
      </c>
      <c r="D58" s="202" t="s">
        <v>143</v>
      </c>
      <c r="E58" s="202"/>
      <c r="F58" s="143">
        <v>6</v>
      </c>
      <c r="G58" s="154">
        <v>320</v>
      </c>
      <c r="H58" s="121">
        <f t="shared" ref="H58:H61" si="3">F58*G58</f>
        <v>1920</v>
      </c>
    </row>
    <row r="59" spans="2:8" x14ac:dyDescent="0.4">
      <c r="B59" s="71">
        <v>2</v>
      </c>
      <c r="C59" s="102" t="s">
        <v>104</v>
      </c>
      <c r="D59" s="202" t="s">
        <v>143</v>
      </c>
      <c r="E59" s="202"/>
      <c r="F59" s="143">
        <v>8.75</v>
      </c>
      <c r="G59" s="154">
        <v>320</v>
      </c>
      <c r="H59" s="121">
        <f t="shared" si="3"/>
        <v>2800</v>
      </c>
    </row>
    <row r="60" spans="2:8" x14ac:dyDescent="0.4">
      <c r="B60" s="71">
        <v>3</v>
      </c>
      <c r="C60" s="12" t="s">
        <v>117</v>
      </c>
      <c r="D60" s="192" t="s">
        <v>143</v>
      </c>
      <c r="E60" s="192"/>
      <c r="F60" s="143">
        <v>7.5</v>
      </c>
      <c r="G60" s="154">
        <v>310</v>
      </c>
      <c r="H60" s="121">
        <f t="shared" si="3"/>
        <v>2325</v>
      </c>
    </row>
    <row r="61" spans="2:8" ht="21.6" thickBot="1" x14ac:dyDescent="0.45">
      <c r="B61" s="71">
        <v>4</v>
      </c>
      <c r="C61" s="12" t="s">
        <v>116</v>
      </c>
      <c r="D61" s="192" t="s">
        <v>143</v>
      </c>
      <c r="E61" s="192"/>
      <c r="F61" s="143">
        <v>9</v>
      </c>
      <c r="G61" s="154">
        <v>310</v>
      </c>
      <c r="H61" s="121">
        <f t="shared" si="3"/>
        <v>2790</v>
      </c>
    </row>
    <row r="62" spans="2:8" ht="21.6" thickBot="1" x14ac:dyDescent="0.45">
      <c r="B62" s="148"/>
      <c r="C62" s="149"/>
      <c r="D62" s="146"/>
      <c r="E62" s="193" t="s">
        <v>4</v>
      </c>
      <c r="F62" s="193"/>
      <c r="G62" s="147"/>
      <c r="H62" s="150">
        <f>SUM(H58:H61)</f>
        <v>9835</v>
      </c>
    </row>
    <row r="68" spans="2:9" x14ac:dyDescent="0.4">
      <c r="B68" s="79"/>
      <c r="C68" s="80"/>
      <c r="D68" s="80"/>
      <c r="E68" s="78"/>
      <c r="G68" s="16"/>
      <c r="H68" s="16"/>
      <c r="I68"/>
    </row>
  </sheetData>
  <mergeCells count="20">
    <mergeCell ref="B2:H2"/>
    <mergeCell ref="B3:H3"/>
    <mergeCell ref="E8:F8"/>
    <mergeCell ref="B47:H47"/>
    <mergeCell ref="B48:H48"/>
    <mergeCell ref="B10:H10"/>
    <mergeCell ref="B11:H11"/>
    <mergeCell ref="E53:F53"/>
    <mergeCell ref="D49:E49"/>
    <mergeCell ref="D50:E50"/>
    <mergeCell ref="D52:E52"/>
    <mergeCell ref="E62:F62"/>
    <mergeCell ref="B55:H55"/>
    <mergeCell ref="B56:H56"/>
    <mergeCell ref="D57:E57"/>
    <mergeCell ref="D58:E58"/>
    <mergeCell ref="D60:E60"/>
    <mergeCell ref="D61:E61"/>
    <mergeCell ref="D51:E51"/>
    <mergeCell ref="D59:E59"/>
  </mergeCells>
  <pageMargins left="0.7" right="0.7" top="0.75" bottom="0.75" header="0.3" footer="0.3"/>
  <pageSetup paperSize="9" scale="69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0C6B-654F-4573-8EF5-84DD15221345}">
  <dimension ref="A1:I108"/>
  <sheetViews>
    <sheetView zoomScale="54" zoomScaleNormal="100" workbookViewId="0">
      <selection activeCell="I79" sqref="I79"/>
    </sheetView>
  </sheetViews>
  <sheetFormatPr defaultRowHeight="14.4" x14ac:dyDescent="0.3"/>
  <cols>
    <col min="1" max="1" width="8.88671875" customWidth="1"/>
    <col min="2" max="2" width="37.33203125" customWidth="1"/>
    <col min="3" max="3" width="44.21875" style="58" customWidth="1"/>
    <col min="4" max="4" width="10.77734375" style="15" customWidth="1"/>
    <col min="5" max="5" width="14.109375" customWidth="1"/>
    <col min="6" max="6" width="12.44140625" customWidth="1"/>
    <col min="8" max="8" width="12.21875" customWidth="1"/>
    <col min="9" max="9" width="31.88671875" customWidth="1"/>
  </cols>
  <sheetData>
    <row r="1" spans="1:9" ht="15" thickBot="1" x14ac:dyDescent="0.35"/>
    <row r="2" spans="1:9" s="84" customFormat="1" ht="22.8" customHeight="1" thickBot="1" x14ac:dyDescent="0.45">
      <c r="A2" s="1"/>
      <c r="B2" s="194" t="s">
        <v>164</v>
      </c>
      <c r="C2" s="195"/>
      <c r="D2" s="195"/>
      <c r="E2" s="196"/>
      <c r="H2" s="1"/>
    </row>
    <row r="3" spans="1:9" s="84" customFormat="1" ht="21.6" thickBot="1" x14ac:dyDescent="0.45">
      <c r="A3" s="1"/>
      <c r="B3" s="217" t="s">
        <v>5</v>
      </c>
      <c r="C3" s="218"/>
      <c r="D3" s="218"/>
      <c r="E3" s="219"/>
      <c r="H3" s="1"/>
    </row>
    <row r="4" spans="1:9" s="84" customFormat="1" ht="21.6" thickBot="1" x14ac:dyDescent="0.45">
      <c r="A4" s="1"/>
      <c r="B4" s="54" t="s">
        <v>0</v>
      </c>
      <c r="C4" s="200" t="s">
        <v>1</v>
      </c>
      <c r="D4" s="201"/>
      <c r="E4" s="4" t="s">
        <v>2</v>
      </c>
      <c r="H4" s="1"/>
    </row>
    <row r="5" spans="1:9" s="84" customFormat="1" ht="26.4" customHeight="1" thickBot="1" x14ac:dyDescent="0.45">
      <c r="A5" s="1"/>
      <c r="B5" s="127" t="s">
        <v>6</v>
      </c>
      <c r="C5" s="220" t="s">
        <v>126</v>
      </c>
      <c r="D5" s="221"/>
      <c r="E5" s="7">
        <v>1617</v>
      </c>
      <c r="H5" s="1"/>
    </row>
    <row r="6" spans="1:9" s="84" customFormat="1" ht="22.2" customHeight="1" thickBot="1" x14ac:dyDescent="0.45">
      <c r="A6" s="1"/>
      <c r="B6" s="207" t="s">
        <v>4</v>
      </c>
      <c r="C6" s="193"/>
      <c r="D6" s="208"/>
      <c r="E6" s="87">
        <f>SUM(E5:E5)</f>
        <v>1617</v>
      </c>
      <c r="H6" s="1"/>
    </row>
    <row r="7" spans="1:9" s="1" customFormat="1" ht="15.6" customHeight="1" thickBot="1" x14ac:dyDescent="0.45">
      <c r="B7" s="79"/>
      <c r="C7" s="80"/>
      <c r="D7" s="80"/>
      <c r="E7" s="78"/>
      <c r="G7" s="16"/>
      <c r="H7" s="16"/>
      <c r="I7"/>
    </row>
    <row r="8" spans="1:9" s="1" customFormat="1" ht="21.6" thickBot="1" x14ac:dyDescent="0.45">
      <c r="B8" s="194" t="s">
        <v>164</v>
      </c>
      <c r="C8" s="195"/>
      <c r="D8" s="195"/>
      <c r="E8" s="196"/>
      <c r="F8" s="84"/>
      <c r="G8" s="84"/>
    </row>
    <row r="9" spans="1:9" s="1" customFormat="1" ht="21.6" thickBot="1" x14ac:dyDescent="0.45">
      <c r="B9" s="217" t="s">
        <v>60</v>
      </c>
      <c r="C9" s="218"/>
      <c r="D9" s="218"/>
      <c r="E9" s="219"/>
      <c r="F9" s="84"/>
      <c r="G9" s="84"/>
    </row>
    <row r="10" spans="1:9" s="1" customFormat="1" ht="21.6" thickBot="1" x14ac:dyDescent="0.45">
      <c r="B10" s="123" t="s">
        <v>0</v>
      </c>
      <c r="C10" s="200" t="s">
        <v>1</v>
      </c>
      <c r="D10" s="201"/>
      <c r="E10" s="86" t="s">
        <v>2</v>
      </c>
      <c r="F10" s="84"/>
      <c r="G10" s="84"/>
    </row>
    <row r="11" spans="1:9" s="84" customFormat="1" ht="21.6" thickBot="1" x14ac:dyDescent="0.45">
      <c r="A11" s="1"/>
      <c r="B11" s="127" t="s">
        <v>3</v>
      </c>
      <c r="C11" s="222" t="s">
        <v>111</v>
      </c>
      <c r="D11" s="223"/>
      <c r="E11" s="7">
        <v>3924</v>
      </c>
      <c r="H11" s="1"/>
    </row>
    <row r="12" spans="1:9" s="84" customFormat="1" ht="22.2" customHeight="1" thickBot="1" x14ac:dyDescent="0.45">
      <c r="A12" s="1"/>
      <c r="B12" s="207" t="s">
        <v>4</v>
      </c>
      <c r="C12" s="193"/>
      <c r="D12" s="208"/>
      <c r="E12" s="87">
        <f>SUM(E11:E11)</f>
        <v>3924</v>
      </c>
      <c r="H12" s="1"/>
    </row>
    <row r="13" spans="1:9" s="84" customFormat="1" ht="18" customHeight="1" thickBot="1" x14ac:dyDescent="0.45">
      <c r="A13" s="1"/>
      <c r="B13" s="1"/>
      <c r="C13" s="5"/>
      <c r="D13" s="5"/>
      <c r="E13" s="5"/>
      <c r="H13" s="1"/>
    </row>
    <row r="14" spans="1:9" ht="20.399999999999999" customHeight="1" thickBot="1" x14ac:dyDescent="0.45">
      <c r="B14" s="194" t="s">
        <v>164</v>
      </c>
      <c r="C14" s="195"/>
      <c r="D14" s="195"/>
      <c r="E14" s="196"/>
    </row>
    <row r="15" spans="1:9" ht="22.8" customHeight="1" thickBot="1" x14ac:dyDescent="0.45">
      <c r="B15" s="194" t="s">
        <v>81</v>
      </c>
      <c r="C15" s="195"/>
      <c r="D15" s="195"/>
      <c r="E15" s="196"/>
    </row>
    <row r="16" spans="1:9" ht="19.8" customHeight="1" thickBot="1" x14ac:dyDescent="0.45">
      <c r="B16" s="115" t="s">
        <v>0</v>
      </c>
      <c r="C16" s="13" t="s">
        <v>13</v>
      </c>
      <c r="D16" s="17"/>
      <c r="E16" s="18" t="s">
        <v>2</v>
      </c>
    </row>
    <row r="17" spans="2:9" ht="23.4" customHeight="1" x14ac:dyDescent="0.35">
      <c r="B17" s="19" t="s">
        <v>82</v>
      </c>
      <c r="C17" s="20">
        <v>4.25</v>
      </c>
      <c r="D17" s="20">
        <v>360</v>
      </c>
      <c r="E17" s="21">
        <f>+C17*D17</f>
        <v>1530</v>
      </c>
      <c r="I17" t="s">
        <v>37</v>
      </c>
    </row>
    <row r="18" spans="2:9" ht="23.4" customHeight="1" thickBot="1" x14ac:dyDescent="0.45">
      <c r="B18" s="22"/>
      <c r="C18" s="114"/>
      <c r="D18" s="114"/>
      <c r="E18" s="116">
        <f>SUM(E17:E17)</f>
        <v>1530</v>
      </c>
    </row>
    <row r="19" spans="2:9" s="1" customFormat="1" ht="21" customHeight="1" thickBot="1" x14ac:dyDescent="0.45">
      <c r="C19" s="84"/>
      <c r="D19" s="2"/>
      <c r="F19" s="84"/>
      <c r="G19" s="84"/>
    </row>
    <row r="20" spans="2:9" s="1" customFormat="1" ht="27" customHeight="1" thickBot="1" x14ac:dyDescent="0.45">
      <c r="B20" s="194" t="s">
        <v>164</v>
      </c>
      <c r="C20" s="195"/>
      <c r="D20" s="195"/>
      <c r="E20" s="196"/>
      <c r="F20" s="84"/>
      <c r="G20" s="84"/>
    </row>
    <row r="21" spans="2:9" s="1" customFormat="1" ht="21.6" thickBot="1" x14ac:dyDescent="0.45">
      <c r="B21" s="217" t="s">
        <v>7</v>
      </c>
      <c r="C21" s="218"/>
      <c r="D21" s="218"/>
      <c r="E21" s="219"/>
      <c r="F21" s="84"/>
      <c r="G21" s="84"/>
    </row>
    <row r="22" spans="2:9" s="1" customFormat="1" ht="21.6" thickBot="1" x14ac:dyDescent="0.45">
      <c r="B22" s="123" t="s">
        <v>0</v>
      </c>
      <c r="C22" s="190" t="s">
        <v>1</v>
      </c>
      <c r="D22" s="191"/>
      <c r="E22" s="54" t="s">
        <v>2</v>
      </c>
      <c r="F22" s="84"/>
      <c r="G22" s="84"/>
    </row>
    <row r="23" spans="2:9" s="1" customFormat="1" ht="25.2" customHeight="1" x14ac:dyDescent="0.4">
      <c r="B23" s="128" t="s">
        <v>70</v>
      </c>
      <c r="C23" s="215" t="s">
        <v>144</v>
      </c>
      <c r="D23" s="216"/>
      <c r="E23" s="6">
        <v>3416</v>
      </c>
      <c r="F23" s="84"/>
      <c r="G23" s="84"/>
    </row>
    <row r="24" spans="2:9" s="1" customFormat="1" ht="25.2" customHeight="1" x14ac:dyDescent="0.4">
      <c r="B24" s="126" t="s">
        <v>8</v>
      </c>
      <c r="C24" s="215" t="s">
        <v>144</v>
      </c>
      <c r="D24" s="216"/>
      <c r="E24" s="6">
        <v>3636</v>
      </c>
      <c r="F24" s="84"/>
      <c r="G24" s="84"/>
      <c r="I24" s="1" t="s">
        <v>37</v>
      </c>
    </row>
    <row r="25" spans="2:9" s="1" customFormat="1" ht="25.2" customHeight="1" x14ac:dyDescent="0.4">
      <c r="B25" s="126" t="s">
        <v>63</v>
      </c>
      <c r="C25" s="215" t="s">
        <v>144</v>
      </c>
      <c r="D25" s="216"/>
      <c r="E25" s="6">
        <v>3994</v>
      </c>
      <c r="F25" s="84"/>
      <c r="G25" s="84"/>
    </row>
    <row r="26" spans="2:9" s="1" customFormat="1" ht="25.2" customHeight="1" x14ac:dyDescent="0.4">
      <c r="B26" s="126" t="s">
        <v>9</v>
      </c>
      <c r="C26" s="215" t="s">
        <v>144</v>
      </c>
      <c r="D26" s="216"/>
      <c r="E26" s="6">
        <v>4830</v>
      </c>
      <c r="F26" s="84"/>
      <c r="G26" s="84"/>
    </row>
    <row r="27" spans="2:9" s="1" customFormat="1" ht="25.2" customHeight="1" thickBot="1" x14ac:dyDescent="0.45">
      <c r="B27" s="127" t="s">
        <v>10</v>
      </c>
      <c r="C27" s="215" t="s">
        <v>144</v>
      </c>
      <c r="D27" s="216"/>
      <c r="E27" s="6">
        <v>2941</v>
      </c>
      <c r="F27" s="84"/>
      <c r="G27" s="84"/>
    </row>
    <row r="28" spans="2:9" s="1" customFormat="1" ht="21.6" thickBot="1" x14ac:dyDescent="0.45">
      <c r="B28" s="207" t="s">
        <v>4</v>
      </c>
      <c r="C28" s="193"/>
      <c r="D28" s="208"/>
      <c r="E28" s="87">
        <f>SUM(E23:E27)</f>
        <v>18817</v>
      </c>
      <c r="F28" s="84"/>
      <c r="G28" s="84"/>
    </row>
    <row r="29" spans="2:9" s="1" customFormat="1" ht="15.6" customHeight="1" thickBot="1" x14ac:dyDescent="0.45">
      <c r="B29" s="79"/>
      <c r="C29" s="80"/>
      <c r="D29" s="80"/>
      <c r="E29" s="78"/>
      <c r="G29" s="16"/>
      <c r="H29" s="16"/>
      <c r="I29"/>
    </row>
    <row r="30" spans="2:9" s="1" customFormat="1" ht="27" customHeight="1" thickBot="1" x14ac:dyDescent="0.45">
      <c r="B30" s="194" t="s">
        <v>164</v>
      </c>
      <c r="C30" s="195"/>
      <c r="D30" s="195"/>
      <c r="E30" s="196"/>
      <c r="F30" s="84"/>
      <c r="G30" s="84"/>
    </row>
    <row r="31" spans="2:9" s="1" customFormat="1" ht="21.6" thickBot="1" x14ac:dyDescent="0.45">
      <c r="B31" s="217" t="s">
        <v>11</v>
      </c>
      <c r="C31" s="218"/>
      <c r="D31" s="218"/>
      <c r="E31" s="219"/>
      <c r="F31" s="84"/>
      <c r="G31" s="84"/>
      <c r="I31" s="88"/>
    </row>
    <row r="32" spans="2:9" s="1" customFormat="1" ht="21.6" thickBot="1" x14ac:dyDescent="0.45">
      <c r="B32" s="97" t="s">
        <v>0</v>
      </c>
      <c r="C32" s="200" t="s">
        <v>1</v>
      </c>
      <c r="D32" s="201"/>
      <c r="E32" s="86" t="s">
        <v>2</v>
      </c>
      <c r="F32" s="84"/>
      <c r="G32" s="84"/>
    </row>
    <row r="33" spans="2:9" s="1" customFormat="1" ht="29.4" customHeight="1" x14ac:dyDescent="0.4">
      <c r="B33" s="128" t="s">
        <v>59</v>
      </c>
      <c r="C33" s="215" t="s">
        <v>144</v>
      </c>
      <c r="D33" s="216"/>
      <c r="E33" s="7">
        <v>6282</v>
      </c>
      <c r="F33" s="84"/>
      <c r="G33" s="84"/>
    </row>
    <row r="34" spans="2:9" s="1" customFormat="1" ht="29.4" customHeight="1" x14ac:dyDescent="0.4">
      <c r="B34" s="126" t="s">
        <v>71</v>
      </c>
      <c r="C34" s="215" t="s">
        <v>144</v>
      </c>
      <c r="D34" s="216"/>
      <c r="E34" s="7">
        <v>9438</v>
      </c>
      <c r="F34" s="84"/>
      <c r="G34" s="84"/>
    </row>
    <row r="35" spans="2:9" s="1" customFormat="1" ht="29.4" customHeight="1" thickBot="1" x14ac:dyDescent="0.45">
      <c r="B35" s="127" t="s">
        <v>12</v>
      </c>
      <c r="C35" s="215" t="s">
        <v>144</v>
      </c>
      <c r="D35" s="216"/>
      <c r="E35" s="7">
        <v>10120</v>
      </c>
      <c r="F35" s="84"/>
      <c r="G35" s="84"/>
    </row>
    <row r="36" spans="2:9" s="1" customFormat="1" ht="21.6" thickBot="1" x14ac:dyDescent="0.45">
      <c r="B36" s="207" t="s">
        <v>4</v>
      </c>
      <c r="C36" s="193"/>
      <c r="D36" s="208"/>
      <c r="E36" s="87">
        <f>SUM(E33:E35)</f>
        <v>25840</v>
      </c>
      <c r="F36" s="84"/>
      <c r="G36" s="84"/>
      <c r="H36" s="88"/>
    </row>
    <row r="37" spans="2:9" ht="15" thickBot="1" x14ac:dyDescent="0.35"/>
    <row r="38" spans="2:9" ht="27.6" customHeight="1" thickBot="1" x14ac:dyDescent="0.4">
      <c r="B38" s="212" t="s">
        <v>20</v>
      </c>
      <c r="C38" s="213"/>
      <c r="D38" s="14"/>
      <c r="E38" s="23" t="s">
        <v>37</v>
      </c>
    </row>
    <row r="39" spans="2:9" ht="21" customHeight="1" x14ac:dyDescent="0.4">
      <c r="B39" s="24" t="s">
        <v>21</v>
      </c>
      <c r="C39" s="76" t="s">
        <v>2</v>
      </c>
      <c r="D39" s="14"/>
      <c r="E39" s="23"/>
    </row>
    <row r="40" spans="2:9" ht="21" customHeight="1" x14ac:dyDescent="0.35">
      <c r="B40" s="25" t="s">
        <v>22</v>
      </c>
      <c r="C40" s="11">
        <v>250</v>
      </c>
      <c r="D40" s="14"/>
      <c r="E40" s="23"/>
    </row>
    <row r="41" spans="2:9" ht="21" customHeight="1" x14ac:dyDescent="0.35">
      <c r="B41" s="25" t="s">
        <v>23</v>
      </c>
      <c r="C41" s="7">
        <v>2000</v>
      </c>
      <c r="D41" s="14"/>
      <c r="E41" s="23"/>
    </row>
    <row r="42" spans="2:9" ht="21" customHeight="1" thickBot="1" x14ac:dyDescent="0.4">
      <c r="B42" s="25" t="s">
        <v>24</v>
      </c>
      <c r="C42" s="7">
        <v>1800</v>
      </c>
      <c r="D42" s="14"/>
      <c r="E42" s="23"/>
    </row>
    <row r="43" spans="2:9" ht="23.4" customHeight="1" thickBot="1" x14ac:dyDescent="0.45">
      <c r="B43" s="3" t="s">
        <v>4</v>
      </c>
      <c r="C43" s="110">
        <f>SUM(C40:C42)</f>
        <v>4050</v>
      </c>
      <c r="D43" s="14"/>
    </row>
    <row r="44" spans="2:9" ht="21" customHeight="1" thickBot="1" x14ac:dyDescent="0.45">
      <c r="B44" s="81"/>
      <c r="C44" s="82"/>
      <c r="D44" s="14"/>
    </row>
    <row r="45" spans="2:9" ht="20.399999999999999" customHeight="1" thickBot="1" x14ac:dyDescent="0.45">
      <c r="B45" s="194" t="s">
        <v>164</v>
      </c>
      <c r="C45" s="195"/>
      <c r="D45" s="195"/>
      <c r="E45" s="196"/>
    </row>
    <row r="46" spans="2:9" ht="22.8" customHeight="1" thickBot="1" x14ac:dyDescent="0.45">
      <c r="B46" s="194" t="s">
        <v>134</v>
      </c>
      <c r="C46" s="195"/>
      <c r="D46" s="195"/>
      <c r="E46" s="196"/>
    </row>
    <row r="47" spans="2:9" ht="19.8" customHeight="1" thickBot="1" x14ac:dyDescent="0.45">
      <c r="B47" s="115" t="s">
        <v>135</v>
      </c>
      <c r="C47" s="13" t="s">
        <v>26</v>
      </c>
      <c r="D47" s="17"/>
      <c r="E47" s="18" t="s">
        <v>2</v>
      </c>
    </row>
    <row r="48" spans="2:9" ht="23.4" customHeight="1" x14ac:dyDescent="0.35">
      <c r="B48" s="19" t="s">
        <v>136</v>
      </c>
      <c r="C48" s="20">
        <v>129</v>
      </c>
      <c r="D48" s="20">
        <v>1</v>
      </c>
      <c r="E48" s="21">
        <f>+C48*D48</f>
        <v>129</v>
      </c>
      <c r="I48" t="s">
        <v>37</v>
      </c>
    </row>
    <row r="49" spans="2:9" ht="23.4" customHeight="1" thickBot="1" x14ac:dyDescent="0.45">
      <c r="B49" s="22"/>
      <c r="C49" s="114"/>
      <c r="D49" s="114"/>
      <c r="E49" s="116">
        <f>SUM(E48:E48)</f>
        <v>129</v>
      </c>
    </row>
    <row r="50" spans="2:9" s="1" customFormat="1" ht="15.6" customHeight="1" thickBot="1" x14ac:dyDescent="0.45">
      <c r="B50" s="79"/>
      <c r="C50" s="80"/>
      <c r="D50" s="80"/>
      <c r="E50" s="78"/>
      <c r="G50" s="16"/>
      <c r="H50" s="16"/>
      <c r="I50"/>
    </row>
    <row r="51" spans="2:9" ht="21.6" thickBot="1" x14ac:dyDescent="0.45">
      <c r="B51" s="194" t="s">
        <v>164</v>
      </c>
      <c r="C51" s="195"/>
      <c r="D51" s="195"/>
      <c r="E51" s="195"/>
      <c r="F51" s="196"/>
    </row>
    <row r="52" spans="2:9" ht="21.6" thickBot="1" x14ac:dyDescent="0.45">
      <c r="B52" s="194" t="s">
        <v>165</v>
      </c>
      <c r="C52" s="195"/>
      <c r="D52" s="195"/>
      <c r="E52" s="195"/>
      <c r="F52" s="196"/>
    </row>
    <row r="53" spans="2:9" ht="21.6" thickBot="1" x14ac:dyDescent="0.45">
      <c r="B53" s="3" t="s">
        <v>25</v>
      </c>
      <c r="C53" s="77" t="s">
        <v>1</v>
      </c>
      <c r="D53" s="26" t="s">
        <v>26</v>
      </c>
      <c r="E53" s="26" t="s">
        <v>27</v>
      </c>
      <c r="F53" s="27" t="s">
        <v>2</v>
      </c>
    </row>
    <row r="54" spans="2:9" ht="18" x14ac:dyDescent="0.35">
      <c r="B54" s="35"/>
      <c r="C54" s="36"/>
      <c r="D54" s="96"/>
      <c r="E54" s="28"/>
      <c r="F54" s="160"/>
    </row>
    <row r="55" spans="2:9" ht="18" x14ac:dyDescent="0.35">
      <c r="B55" s="163">
        <v>128588</v>
      </c>
      <c r="C55" s="169" t="s">
        <v>171</v>
      </c>
      <c r="D55" s="142">
        <v>1345</v>
      </c>
      <c r="E55" s="170">
        <v>1.5</v>
      </c>
      <c r="F55" s="164">
        <f>+D55*E55</f>
        <v>2017.5</v>
      </c>
    </row>
    <row r="56" spans="2:9" ht="18.600000000000001" thickBot="1" x14ac:dyDescent="0.4">
      <c r="B56" s="29"/>
      <c r="C56" s="30"/>
      <c r="D56" s="31"/>
      <c r="E56" s="31"/>
      <c r="F56" s="32"/>
    </row>
    <row r="57" spans="2:9" ht="18.600000000000001" thickBot="1" x14ac:dyDescent="0.4">
      <c r="B57" s="33"/>
      <c r="C57" s="214" t="s">
        <v>28</v>
      </c>
      <c r="D57" s="214"/>
      <c r="E57" s="214"/>
      <c r="F57" s="34">
        <f>SUM(F46:F56)</f>
        <v>2017.5</v>
      </c>
    </row>
    <row r="58" spans="2:9" s="1" customFormat="1" ht="15.6" customHeight="1" thickBot="1" x14ac:dyDescent="0.45">
      <c r="B58" s="79"/>
      <c r="C58" s="80"/>
      <c r="D58" s="80"/>
      <c r="E58" s="78"/>
      <c r="G58" s="16"/>
      <c r="H58" s="16"/>
      <c r="I58"/>
    </row>
    <row r="59" spans="2:9" ht="21.6" thickBot="1" x14ac:dyDescent="0.45">
      <c r="B59" s="194" t="s">
        <v>164</v>
      </c>
      <c r="C59" s="195"/>
      <c r="D59" s="195"/>
      <c r="E59" s="195"/>
      <c r="F59" s="196"/>
    </row>
    <row r="60" spans="2:9" ht="21.6" thickBot="1" x14ac:dyDescent="0.45">
      <c r="B60" s="194" t="s">
        <v>166</v>
      </c>
      <c r="C60" s="195"/>
      <c r="D60" s="195"/>
      <c r="E60" s="195"/>
      <c r="F60" s="196"/>
    </row>
    <row r="61" spans="2:9" ht="21.6" thickBot="1" x14ac:dyDescent="0.45">
      <c r="B61" s="3" t="s">
        <v>25</v>
      </c>
      <c r="C61" s="77" t="s">
        <v>1</v>
      </c>
      <c r="D61" s="26" t="s">
        <v>26</v>
      </c>
      <c r="E61" s="26" t="s">
        <v>27</v>
      </c>
      <c r="F61" s="27" t="s">
        <v>2</v>
      </c>
    </row>
    <row r="62" spans="2:9" ht="18" x14ac:dyDescent="0.35">
      <c r="B62" s="35"/>
      <c r="C62" s="36"/>
      <c r="D62" s="96"/>
      <c r="E62" s="28"/>
      <c r="F62" s="160"/>
    </row>
    <row r="63" spans="2:9" ht="18" x14ac:dyDescent="0.35">
      <c r="B63" s="163" t="s">
        <v>174</v>
      </c>
      <c r="C63" s="169" t="s">
        <v>172</v>
      </c>
      <c r="D63" s="142">
        <v>2975</v>
      </c>
      <c r="E63" s="170">
        <v>1</v>
      </c>
      <c r="F63" s="164">
        <f>+D63*E63</f>
        <v>2975</v>
      </c>
    </row>
    <row r="64" spans="2:9" ht="18" x14ac:dyDescent="0.35">
      <c r="B64" s="163" t="s">
        <v>174</v>
      </c>
      <c r="C64" s="169" t="s">
        <v>185</v>
      </c>
      <c r="D64" s="142">
        <v>2191</v>
      </c>
      <c r="E64" s="170">
        <v>1</v>
      </c>
      <c r="F64" s="164">
        <f>+D64*E64</f>
        <v>2191</v>
      </c>
    </row>
    <row r="65" spans="2:6" ht="18.600000000000001" thickBot="1" x14ac:dyDescent="0.4">
      <c r="B65" s="29"/>
      <c r="C65" s="30"/>
      <c r="D65" s="31"/>
      <c r="E65" s="31"/>
      <c r="F65" s="32"/>
    </row>
    <row r="66" spans="2:6" ht="18.600000000000001" thickBot="1" x14ac:dyDescent="0.4">
      <c r="B66" s="33"/>
      <c r="C66" s="214" t="s">
        <v>28</v>
      </c>
      <c r="D66" s="214"/>
      <c r="E66" s="214"/>
      <c r="F66" s="34">
        <f>SUM(F63:F65)</f>
        <v>5166</v>
      </c>
    </row>
    <row r="67" spans="2:6" ht="16.8" customHeight="1" thickBot="1" x14ac:dyDescent="0.45">
      <c r="B67" s="81"/>
      <c r="C67" s="82"/>
      <c r="D67" s="14"/>
    </row>
    <row r="68" spans="2:6" ht="21.6" thickBot="1" x14ac:dyDescent="0.45">
      <c r="B68" s="194" t="s">
        <v>164</v>
      </c>
      <c r="C68" s="195"/>
      <c r="D68" s="195"/>
      <c r="E68" s="195"/>
      <c r="F68" s="196"/>
    </row>
    <row r="69" spans="2:6" ht="21.6" thickBot="1" x14ac:dyDescent="0.45">
      <c r="B69" s="194" t="s">
        <v>120</v>
      </c>
      <c r="C69" s="195"/>
      <c r="D69" s="195"/>
      <c r="E69" s="195"/>
      <c r="F69" s="196"/>
    </row>
    <row r="70" spans="2:6" ht="21.6" thickBot="1" x14ac:dyDescent="0.45">
      <c r="B70" s="3" t="s">
        <v>25</v>
      </c>
      <c r="C70" s="77" t="s">
        <v>1</v>
      </c>
      <c r="D70" s="26" t="s">
        <v>26</v>
      </c>
      <c r="E70" s="26" t="s">
        <v>27</v>
      </c>
      <c r="F70" s="27" t="s">
        <v>2</v>
      </c>
    </row>
    <row r="71" spans="2:6" ht="18" x14ac:dyDescent="0.35">
      <c r="B71" s="35"/>
      <c r="C71" s="36"/>
      <c r="D71" s="96"/>
      <c r="E71" s="28"/>
      <c r="F71" s="160"/>
    </row>
    <row r="72" spans="2:6" ht="18" x14ac:dyDescent="0.35">
      <c r="B72" s="163" t="s">
        <v>159</v>
      </c>
      <c r="C72" s="169" t="s">
        <v>173</v>
      </c>
      <c r="D72" s="142">
        <v>940</v>
      </c>
      <c r="E72" s="170">
        <v>0.8</v>
      </c>
      <c r="F72" s="164">
        <f t="shared" ref="F72" si="0">+D72*E72</f>
        <v>752</v>
      </c>
    </row>
    <row r="73" spans="2:6" ht="18" x14ac:dyDescent="0.35">
      <c r="B73" s="163" t="s">
        <v>174</v>
      </c>
      <c r="C73" s="169" t="s">
        <v>175</v>
      </c>
      <c r="D73" s="142">
        <v>1480</v>
      </c>
      <c r="E73" s="170">
        <v>1.2</v>
      </c>
      <c r="F73" s="164">
        <f t="shared" ref="F73" si="1">+D73*E73</f>
        <v>1776</v>
      </c>
    </row>
    <row r="74" spans="2:6" ht="18.600000000000001" thickBot="1" x14ac:dyDescent="0.4">
      <c r="B74" s="29"/>
      <c r="C74" s="30"/>
      <c r="D74" s="31"/>
      <c r="E74" s="31"/>
      <c r="F74" s="32"/>
    </row>
    <row r="75" spans="2:6" ht="18.600000000000001" thickBot="1" x14ac:dyDescent="0.4">
      <c r="B75" s="33"/>
      <c r="C75" s="214" t="s">
        <v>28</v>
      </c>
      <c r="D75" s="214"/>
      <c r="E75" s="214"/>
      <c r="F75" s="34">
        <f>SUM(F72:F74)</f>
        <v>2528</v>
      </c>
    </row>
    <row r="76" spans="2:6" ht="16.8" customHeight="1" thickBot="1" x14ac:dyDescent="0.45">
      <c r="B76" s="81"/>
      <c r="C76" s="82"/>
      <c r="D76" s="14"/>
    </row>
    <row r="77" spans="2:6" ht="21.6" thickBot="1" x14ac:dyDescent="0.45">
      <c r="B77" s="194" t="s">
        <v>164</v>
      </c>
      <c r="C77" s="195"/>
      <c r="D77" s="195"/>
      <c r="E77" s="195"/>
      <c r="F77" s="196"/>
    </row>
    <row r="78" spans="2:6" ht="21.6" thickBot="1" x14ac:dyDescent="0.45">
      <c r="B78" s="194" t="s">
        <v>194</v>
      </c>
      <c r="C78" s="195"/>
      <c r="D78" s="195"/>
      <c r="E78" s="195"/>
      <c r="F78" s="196"/>
    </row>
    <row r="79" spans="2:6" ht="21.6" thickBot="1" x14ac:dyDescent="0.45">
      <c r="B79" s="3" t="s">
        <v>25</v>
      </c>
      <c r="C79" s="77" t="s">
        <v>1</v>
      </c>
      <c r="D79" s="26" t="s">
        <v>26</v>
      </c>
      <c r="E79" s="26" t="s">
        <v>27</v>
      </c>
      <c r="F79" s="27" t="s">
        <v>2</v>
      </c>
    </row>
    <row r="80" spans="2:6" ht="18" x14ac:dyDescent="0.35">
      <c r="B80" s="35"/>
      <c r="C80" s="36"/>
      <c r="D80" s="96"/>
      <c r="E80" s="28"/>
      <c r="F80" s="160"/>
    </row>
    <row r="81" spans="2:6" ht="18" x14ac:dyDescent="0.35">
      <c r="B81" s="163" t="s">
        <v>195</v>
      </c>
      <c r="C81" s="169" t="s">
        <v>196</v>
      </c>
      <c r="D81" s="142">
        <v>2885</v>
      </c>
      <c r="E81" s="170">
        <v>0.7</v>
      </c>
      <c r="F81" s="164">
        <f t="shared" ref="F81" si="2">+D81*E81</f>
        <v>2019.4999999999998</v>
      </c>
    </row>
    <row r="82" spans="2:6" ht="18.600000000000001" thickBot="1" x14ac:dyDescent="0.4">
      <c r="B82" s="29"/>
      <c r="C82" s="30"/>
      <c r="D82" s="31"/>
      <c r="E82" s="31"/>
      <c r="F82" s="32"/>
    </row>
    <row r="83" spans="2:6" ht="18.600000000000001" thickBot="1" x14ac:dyDescent="0.4">
      <c r="B83" s="33"/>
      <c r="C83" s="214" t="s">
        <v>28</v>
      </c>
      <c r="D83" s="214"/>
      <c r="E83" s="214"/>
      <c r="F83" s="34">
        <f>SUM(F81:F82)</f>
        <v>2019.4999999999998</v>
      </c>
    </row>
    <row r="84" spans="2:6" ht="16.8" customHeight="1" thickBot="1" x14ac:dyDescent="0.45">
      <c r="B84" s="81"/>
      <c r="C84" s="82"/>
      <c r="D84" s="14"/>
    </row>
    <row r="85" spans="2:6" ht="21.6" thickBot="1" x14ac:dyDescent="0.45">
      <c r="B85" s="194" t="s">
        <v>164</v>
      </c>
      <c r="C85" s="195"/>
      <c r="D85" s="195"/>
      <c r="E85" s="195"/>
      <c r="F85" s="196"/>
    </row>
    <row r="86" spans="2:6" ht="21.6" thickBot="1" x14ac:dyDescent="0.45">
      <c r="B86" s="194" t="s">
        <v>29</v>
      </c>
      <c r="C86" s="195"/>
      <c r="D86" s="195"/>
      <c r="E86" s="195"/>
      <c r="F86" s="196"/>
    </row>
    <row r="87" spans="2:6" ht="21.6" thickBot="1" x14ac:dyDescent="0.45">
      <c r="B87" s="3" t="s">
        <v>25</v>
      </c>
      <c r="C87" s="77" t="s">
        <v>1</v>
      </c>
      <c r="D87" s="26" t="s">
        <v>26</v>
      </c>
      <c r="E87" s="26" t="s">
        <v>27</v>
      </c>
      <c r="F87" s="27" t="s">
        <v>2</v>
      </c>
    </row>
    <row r="88" spans="2:6" ht="18" x14ac:dyDescent="0.35">
      <c r="B88" s="35"/>
      <c r="C88" s="36"/>
      <c r="D88" s="96"/>
      <c r="E88" s="28"/>
      <c r="F88" s="160"/>
    </row>
    <row r="89" spans="2:6" s="58" customFormat="1" ht="18" x14ac:dyDescent="0.35">
      <c r="B89" s="162" t="s">
        <v>149</v>
      </c>
      <c r="C89" s="161" t="s">
        <v>140</v>
      </c>
      <c r="D89" s="10">
        <v>5009</v>
      </c>
      <c r="E89" s="10">
        <v>2.1</v>
      </c>
      <c r="F89" s="164">
        <f t="shared" ref="F89" si="3">+D89*E89</f>
        <v>10518.9</v>
      </c>
    </row>
    <row r="90" spans="2:6" s="58" customFormat="1" ht="18" x14ac:dyDescent="0.35">
      <c r="B90" s="163" t="s">
        <v>150</v>
      </c>
      <c r="C90" s="161" t="s">
        <v>137</v>
      </c>
      <c r="D90" s="10">
        <v>126</v>
      </c>
      <c r="E90" s="10">
        <v>1.5</v>
      </c>
      <c r="F90" s="164">
        <f t="shared" ref="F90:F100" si="4">+D90*E90</f>
        <v>189</v>
      </c>
    </row>
    <row r="91" spans="2:6" s="58" customFormat="1" ht="18" x14ac:dyDescent="0.35">
      <c r="B91" s="163" t="s">
        <v>151</v>
      </c>
      <c r="C91" s="161" t="s">
        <v>137</v>
      </c>
      <c r="D91" s="10">
        <v>494</v>
      </c>
      <c r="E91" s="10">
        <v>1.5</v>
      </c>
      <c r="F91" s="164">
        <f t="shared" si="4"/>
        <v>741</v>
      </c>
    </row>
    <row r="92" spans="2:6" s="58" customFormat="1" ht="18" x14ac:dyDescent="0.35">
      <c r="B92" s="163" t="s">
        <v>159</v>
      </c>
      <c r="C92" s="161" t="s">
        <v>167</v>
      </c>
      <c r="D92" s="10">
        <v>702</v>
      </c>
      <c r="E92" s="10">
        <v>2</v>
      </c>
      <c r="F92" s="164">
        <f t="shared" ref="F92" si="5">+D92*E92</f>
        <v>1404</v>
      </c>
    </row>
    <row r="93" spans="2:6" s="58" customFormat="1" ht="18" x14ac:dyDescent="0.35">
      <c r="B93" s="163" t="s">
        <v>159</v>
      </c>
      <c r="C93" s="161" t="s">
        <v>137</v>
      </c>
      <c r="D93" s="10">
        <v>264</v>
      </c>
      <c r="E93" s="10">
        <v>1.5</v>
      </c>
      <c r="F93" s="164">
        <f t="shared" ref="F93" si="6">+D93*E93</f>
        <v>396</v>
      </c>
    </row>
    <row r="94" spans="2:6" s="58" customFormat="1" ht="18" x14ac:dyDescent="0.35">
      <c r="B94" s="163" t="s">
        <v>160</v>
      </c>
      <c r="C94" s="161" t="s">
        <v>141</v>
      </c>
      <c r="D94" s="10">
        <v>868</v>
      </c>
      <c r="E94" s="10">
        <v>1.5</v>
      </c>
      <c r="F94" s="164">
        <f t="shared" ref="F94" si="7">+D94*E94</f>
        <v>1302</v>
      </c>
    </row>
    <row r="95" spans="2:6" s="58" customFormat="1" ht="18" x14ac:dyDescent="0.35">
      <c r="B95" s="163" t="s">
        <v>157</v>
      </c>
      <c r="C95" s="161" t="s">
        <v>158</v>
      </c>
      <c r="D95" s="10">
        <v>247</v>
      </c>
      <c r="E95" s="10">
        <v>1.5</v>
      </c>
      <c r="F95" s="164">
        <f t="shared" si="4"/>
        <v>370.5</v>
      </c>
    </row>
    <row r="96" spans="2:6" s="58" customFormat="1" ht="18" x14ac:dyDescent="0.35">
      <c r="B96" s="163" t="s">
        <v>145</v>
      </c>
      <c r="C96" s="161" t="s">
        <v>152</v>
      </c>
      <c r="D96" s="10">
        <v>160</v>
      </c>
      <c r="E96" s="10">
        <v>2</v>
      </c>
      <c r="F96" s="164">
        <f t="shared" si="4"/>
        <v>320</v>
      </c>
    </row>
    <row r="97" spans="2:6" s="58" customFormat="1" ht="18" x14ac:dyDescent="0.35">
      <c r="B97" s="163" t="s">
        <v>153</v>
      </c>
      <c r="C97" s="161" t="s">
        <v>154</v>
      </c>
      <c r="D97" s="10">
        <v>110</v>
      </c>
      <c r="E97" s="10">
        <v>2</v>
      </c>
      <c r="F97" s="164">
        <f t="shared" si="4"/>
        <v>220</v>
      </c>
    </row>
    <row r="98" spans="2:6" s="58" customFormat="1" ht="18" x14ac:dyDescent="0.35">
      <c r="B98" s="163" t="s">
        <v>155</v>
      </c>
      <c r="C98" s="161" t="s">
        <v>156</v>
      </c>
      <c r="D98" s="10">
        <v>110</v>
      </c>
      <c r="E98" s="10">
        <v>1.5</v>
      </c>
      <c r="F98" s="164">
        <f t="shared" si="4"/>
        <v>165</v>
      </c>
    </row>
    <row r="99" spans="2:6" s="58" customFormat="1" ht="18" x14ac:dyDescent="0.35">
      <c r="B99" s="163" t="s">
        <v>168</v>
      </c>
      <c r="C99" s="161" t="s">
        <v>169</v>
      </c>
      <c r="D99" s="10">
        <v>570</v>
      </c>
      <c r="E99" s="10">
        <v>2.8</v>
      </c>
      <c r="F99" s="164">
        <f t="shared" si="4"/>
        <v>1596</v>
      </c>
    </row>
    <row r="100" spans="2:6" s="58" customFormat="1" ht="18" x14ac:dyDescent="0.35">
      <c r="B100" s="163" t="s">
        <v>168</v>
      </c>
      <c r="C100" s="161" t="s">
        <v>170</v>
      </c>
      <c r="D100" s="10">
        <v>3382</v>
      </c>
      <c r="E100" s="10">
        <v>0.2</v>
      </c>
      <c r="F100" s="164">
        <f t="shared" si="4"/>
        <v>676.40000000000009</v>
      </c>
    </row>
    <row r="101" spans="2:6" ht="18.600000000000001" thickBot="1" x14ac:dyDescent="0.4">
      <c r="B101" s="29"/>
      <c r="C101" s="30"/>
      <c r="D101" s="31"/>
      <c r="E101" s="31"/>
      <c r="F101" s="32"/>
    </row>
    <row r="102" spans="2:6" ht="18.600000000000001" thickBot="1" x14ac:dyDescent="0.4">
      <c r="B102" s="33"/>
      <c r="C102" s="214" t="s">
        <v>28</v>
      </c>
      <c r="D102" s="214"/>
      <c r="E102" s="214"/>
      <c r="F102" s="34">
        <f>SUM(F89:F101)</f>
        <v>17898.800000000003</v>
      </c>
    </row>
    <row r="103" spans="2:6" ht="16.8" customHeight="1" thickBot="1" x14ac:dyDescent="0.45">
      <c r="B103" s="81"/>
      <c r="C103" s="82"/>
      <c r="D103" s="14"/>
    </row>
    <row r="104" spans="2:6" ht="21.6" thickBot="1" x14ac:dyDescent="0.45">
      <c r="B104" s="194" t="s">
        <v>164</v>
      </c>
      <c r="C104" s="195"/>
      <c r="D104" s="195"/>
      <c r="E104" s="196"/>
      <c r="F104" s="171"/>
    </row>
    <row r="105" spans="2:6" ht="21" x14ac:dyDescent="0.4">
      <c r="B105" s="209" t="s">
        <v>130</v>
      </c>
      <c r="C105" s="210"/>
      <c r="D105" s="210"/>
      <c r="E105" s="211"/>
      <c r="F105" s="171"/>
    </row>
    <row r="106" spans="2:6" ht="21" x14ac:dyDescent="0.4">
      <c r="B106" s="172" t="s">
        <v>0</v>
      </c>
      <c r="C106" s="173" t="s">
        <v>128</v>
      </c>
      <c r="D106" s="17"/>
      <c r="E106" s="18" t="s">
        <v>2</v>
      </c>
      <c r="F106" s="171"/>
    </row>
    <row r="107" spans="2:6" ht="18" x14ac:dyDescent="0.35">
      <c r="B107" s="174" t="s">
        <v>129</v>
      </c>
      <c r="C107" s="10">
        <v>7</v>
      </c>
      <c r="D107" s="10">
        <v>428.5</v>
      </c>
      <c r="E107" s="175">
        <f>+C107*D107</f>
        <v>2999.5</v>
      </c>
      <c r="F107" s="171"/>
    </row>
    <row r="108" spans="2:6" ht="21.6" thickBot="1" x14ac:dyDescent="0.45">
      <c r="B108" s="22"/>
      <c r="C108" s="114"/>
      <c r="D108" s="114"/>
      <c r="E108" s="176">
        <f>SUM(E107:E107)</f>
        <v>2999.5</v>
      </c>
      <c r="F108" s="171"/>
    </row>
  </sheetData>
  <mergeCells count="48">
    <mergeCell ref="B77:F77"/>
    <mergeCell ref="B78:F78"/>
    <mergeCell ref="C83:E83"/>
    <mergeCell ref="C66:E66"/>
    <mergeCell ref="B51:F51"/>
    <mergeCell ref="B52:F52"/>
    <mergeCell ref="C57:E57"/>
    <mergeCell ref="B59:F59"/>
    <mergeCell ref="B60:F60"/>
    <mergeCell ref="B36:D36"/>
    <mergeCell ref="B28:D28"/>
    <mergeCell ref="C33:D33"/>
    <mergeCell ref="B30:E30"/>
    <mergeCell ref="B31:E31"/>
    <mergeCell ref="C26:D26"/>
    <mergeCell ref="C27:D27"/>
    <mergeCell ref="C34:D34"/>
    <mergeCell ref="C35:D35"/>
    <mergeCell ref="C32:D32"/>
    <mergeCell ref="C24:D24"/>
    <mergeCell ref="C25:D25"/>
    <mergeCell ref="C22:D22"/>
    <mergeCell ref="B21:E21"/>
    <mergeCell ref="B20:E20"/>
    <mergeCell ref="B2:E2"/>
    <mergeCell ref="B3:E3"/>
    <mergeCell ref="C4:D4"/>
    <mergeCell ref="C5:D5"/>
    <mergeCell ref="C11:D11"/>
    <mergeCell ref="B6:D6"/>
    <mergeCell ref="B8:E8"/>
    <mergeCell ref="B9:E9"/>
    <mergeCell ref="B12:D12"/>
    <mergeCell ref="C10:D10"/>
    <mergeCell ref="B104:E104"/>
    <mergeCell ref="B105:E105"/>
    <mergeCell ref="B38:C38"/>
    <mergeCell ref="C102:E102"/>
    <mergeCell ref="B85:F85"/>
    <mergeCell ref="B86:F86"/>
    <mergeCell ref="B68:F68"/>
    <mergeCell ref="B69:F69"/>
    <mergeCell ref="C75:E75"/>
    <mergeCell ref="B45:E45"/>
    <mergeCell ref="B46:E46"/>
    <mergeCell ref="B14:E14"/>
    <mergeCell ref="B15:E15"/>
    <mergeCell ref="C23:D23"/>
  </mergeCells>
  <phoneticPr fontId="25" type="noConversion"/>
  <pageMargins left="0.7" right="0.7" top="0.75" bottom="0.75" header="0.3" footer="0.3"/>
  <pageSetup paperSize="9" scale="55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4CD6-AA37-494A-B4B6-FF7F94D495B6}">
  <sheetPr>
    <pageSetUpPr fitToPage="1"/>
  </sheetPr>
  <dimension ref="B1:E69"/>
  <sheetViews>
    <sheetView zoomScale="99" zoomScaleNormal="100" workbookViewId="0">
      <pane xSplit="1" ySplit="3" topLeftCell="C56" activePane="bottomRight" state="frozen"/>
      <selection pane="topRight" activeCell="B1" sqref="B1"/>
      <selection pane="bottomLeft" activeCell="A4" sqref="A4"/>
      <selection pane="bottomRight" activeCell="F67" sqref="F67"/>
    </sheetView>
  </sheetViews>
  <sheetFormatPr defaultRowHeight="14.4" x14ac:dyDescent="0.3"/>
  <cols>
    <col min="1" max="1" width="4.88671875" customWidth="1"/>
    <col min="2" max="2" width="9.5546875" customWidth="1"/>
    <col min="3" max="3" width="53.109375" style="58" customWidth="1"/>
    <col min="4" max="4" width="33.44140625" style="58" customWidth="1"/>
    <col min="5" max="5" width="22.5546875" style="58" customWidth="1"/>
    <col min="6" max="6" width="10.77734375" customWidth="1"/>
    <col min="7" max="7" width="41.44140625" customWidth="1"/>
  </cols>
  <sheetData>
    <row r="1" spans="2:5" ht="15" thickBot="1" x14ac:dyDescent="0.35">
      <c r="C1" s="58" t="s">
        <v>44</v>
      </c>
    </row>
    <row r="2" spans="2:5" ht="18.600000000000001" thickBot="1" x14ac:dyDescent="0.4">
      <c r="B2" s="224" t="s">
        <v>184</v>
      </c>
      <c r="C2" s="225"/>
      <c r="D2" s="225"/>
      <c r="E2" s="226"/>
    </row>
    <row r="3" spans="2:5" ht="18.600000000000001" thickBot="1" x14ac:dyDescent="0.4">
      <c r="B3" s="59" t="s">
        <v>45</v>
      </c>
      <c r="C3" s="181" t="s">
        <v>0</v>
      </c>
      <c r="D3" s="180" t="s">
        <v>30</v>
      </c>
      <c r="E3" s="60" t="s">
        <v>42</v>
      </c>
    </row>
    <row r="4" spans="2:5" ht="18" x14ac:dyDescent="0.35">
      <c r="B4" s="61">
        <v>1</v>
      </c>
      <c r="C4" s="62" t="s">
        <v>58</v>
      </c>
      <c r="D4" s="65" t="s">
        <v>78</v>
      </c>
      <c r="E4" s="7">
        <v>3237</v>
      </c>
    </row>
    <row r="5" spans="2:5" ht="18" x14ac:dyDescent="0.35">
      <c r="B5" s="61">
        <v>2</v>
      </c>
      <c r="C5" s="64" t="s">
        <v>64</v>
      </c>
      <c r="D5" s="65" t="s">
        <v>78</v>
      </c>
      <c r="E5" s="7">
        <v>1742</v>
      </c>
    </row>
    <row r="6" spans="2:5" ht="18" x14ac:dyDescent="0.35">
      <c r="B6" s="61">
        <v>3</v>
      </c>
      <c r="C6" s="64" t="s">
        <v>123</v>
      </c>
      <c r="D6" s="65" t="s">
        <v>15</v>
      </c>
      <c r="E6" s="7">
        <v>4165</v>
      </c>
    </row>
    <row r="7" spans="2:5" ht="18" x14ac:dyDescent="0.35">
      <c r="B7" s="61">
        <v>4</v>
      </c>
      <c r="C7" s="178" t="s">
        <v>102</v>
      </c>
      <c r="D7" s="65" t="s">
        <v>14</v>
      </c>
      <c r="E7" s="7">
        <v>3588</v>
      </c>
    </row>
    <row r="8" spans="2:5" ht="18" x14ac:dyDescent="0.35">
      <c r="B8" s="61">
        <v>5</v>
      </c>
      <c r="C8" s="178" t="s">
        <v>77</v>
      </c>
      <c r="D8" s="65" t="s">
        <v>14</v>
      </c>
      <c r="E8" s="7">
        <v>3488</v>
      </c>
    </row>
    <row r="9" spans="2:5" ht="18" x14ac:dyDescent="0.35">
      <c r="B9" s="61">
        <v>6</v>
      </c>
      <c r="C9" s="178" t="s">
        <v>138</v>
      </c>
      <c r="D9" s="65" t="s">
        <v>15</v>
      </c>
      <c r="E9" s="7">
        <v>4593</v>
      </c>
    </row>
    <row r="10" spans="2:5" ht="18" x14ac:dyDescent="0.35">
      <c r="B10" s="61">
        <v>7</v>
      </c>
      <c r="C10" s="66" t="s">
        <v>66</v>
      </c>
      <c r="D10" s="65" t="s">
        <v>14</v>
      </c>
      <c r="E10" s="7">
        <v>3960</v>
      </c>
    </row>
    <row r="11" spans="2:5" ht="18" x14ac:dyDescent="0.35">
      <c r="B11" s="61">
        <v>8</v>
      </c>
      <c r="C11" s="66" t="s">
        <v>91</v>
      </c>
      <c r="D11" s="65" t="s">
        <v>14</v>
      </c>
      <c r="E11" s="7">
        <v>3055</v>
      </c>
    </row>
    <row r="12" spans="2:5" ht="18" x14ac:dyDescent="0.35">
      <c r="B12" s="61">
        <v>9</v>
      </c>
      <c r="C12" s="178" t="s">
        <v>108</v>
      </c>
      <c r="D12" s="65" t="s">
        <v>14</v>
      </c>
      <c r="E12" s="7">
        <v>4208</v>
      </c>
    </row>
    <row r="13" spans="2:5" ht="18" x14ac:dyDescent="0.35">
      <c r="B13" s="61">
        <v>10</v>
      </c>
      <c r="C13" s="178" t="s">
        <v>124</v>
      </c>
      <c r="D13" s="65" t="s">
        <v>14</v>
      </c>
      <c r="E13" s="7">
        <v>4025</v>
      </c>
    </row>
    <row r="14" spans="2:5" ht="18" x14ac:dyDescent="0.35">
      <c r="B14" s="61">
        <v>11</v>
      </c>
      <c r="C14" s="66" t="s">
        <v>110</v>
      </c>
      <c r="D14" s="65" t="s">
        <v>14</v>
      </c>
      <c r="E14" s="7">
        <v>4112</v>
      </c>
    </row>
    <row r="15" spans="2:5" ht="18" x14ac:dyDescent="0.35">
      <c r="B15" s="61">
        <v>12</v>
      </c>
      <c r="C15" s="66" t="s">
        <v>118</v>
      </c>
      <c r="D15" s="65" t="s">
        <v>14</v>
      </c>
      <c r="E15" s="7">
        <v>3407</v>
      </c>
    </row>
    <row r="16" spans="2:5" ht="18" x14ac:dyDescent="0.35">
      <c r="B16" s="61">
        <v>13</v>
      </c>
      <c r="C16" s="66" t="s">
        <v>109</v>
      </c>
      <c r="D16" s="65" t="s">
        <v>16</v>
      </c>
      <c r="E16" s="7">
        <v>3315</v>
      </c>
    </row>
    <row r="17" spans="2:5" ht="18" x14ac:dyDescent="0.35">
      <c r="B17" s="61">
        <v>14</v>
      </c>
      <c r="C17" s="66" t="s">
        <v>17</v>
      </c>
      <c r="D17" s="65" t="s">
        <v>18</v>
      </c>
      <c r="E17" s="7">
        <v>8287</v>
      </c>
    </row>
    <row r="18" spans="2:5" ht="18" x14ac:dyDescent="0.35">
      <c r="B18" s="61">
        <v>15</v>
      </c>
      <c r="C18" s="66" t="s">
        <v>93</v>
      </c>
      <c r="D18" s="65" t="s">
        <v>16</v>
      </c>
      <c r="E18" s="7">
        <v>3870</v>
      </c>
    </row>
    <row r="19" spans="2:5" ht="18" x14ac:dyDescent="0.35">
      <c r="B19" s="61">
        <v>16</v>
      </c>
      <c r="C19" s="66" t="s">
        <v>88</v>
      </c>
      <c r="D19" s="65" t="s">
        <v>15</v>
      </c>
      <c r="E19" s="7">
        <v>3413</v>
      </c>
    </row>
    <row r="20" spans="2:5" ht="18" x14ac:dyDescent="0.35">
      <c r="B20" s="61">
        <v>17</v>
      </c>
      <c r="C20" s="66" t="s">
        <v>125</v>
      </c>
      <c r="D20" s="65" t="s">
        <v>15</v>
      </c>
      <c r="E20" s="7">
        <v>4375</v>
      </c>
    </row>
    <row r="21" spans="2:5" ht="18" x14ac:dyDescent="0.35">
      <c r="B21" s="61">
        <v>18</v>
      </c>
      <c r="C21" s="64" t="s">
        <v>79</v>
      </c>
      <c r="D21" s="65" t="s">
        <v>14</v>
      </c>
      <c r="E21" s="7">
        <v>4331</v>
      </c>
    </row>
    <row r="22" spans="2:5" ht="18" x14ac:dyDescent="0.35">
      <c r="B22" s="61">
        <v>19</v>
      </c>
      <c r="C22" s="64" t="s">
        <v>161</v>
      </c>
      <c r="D22" s="65" t="s">
        <v>14</v>
      </c>
      <c r="E22" s="7">
        <v>2460</v>
      </c>
    </row>
    <row r="23" spans="2:5" ht="18" x14ac:dyDescent="0.35">
      <c r="B23" s="61">
        <v>20</v>
      </c>
      <c r="C23" s="66" t="s">
        <v>89</v>
      </c>
      <c r="D23" s="65" t="s">
        <v>18</v>
      </c>
      <c r="E23" s="7">
        <v>5490</v>
      </c>
    </row>
    <row r="24" spans="2:5" ht="18" x14ac:dyDescent="0.35">
      <c r="B24" s="61">
        <v>21</v>
      </c>
      <c r="C24" s="66" t="s">
        <v>73</v>
      </c>
      <c r="D24" s="65" t="s">
        <v>15</v>
      </c>
      <c r="E24" s="7">
        <v>3877</v>
      </c>
    </row>
    <row r="25" spans="2:5" ht="18" x14ac:dyDescent="0.35">
      <c r="B25" s="61">
        <v>22</v>
      </c>
      <c r="C25" s="178" t="s">
        <v>107</v>
      </c>
      <c r="D25" s="65" t="s">
        <v>14</v>
      </c>
      <c r="E25" s="7">
        <v>4113</v>
      </c>
    </row>
    <row r="26" spans="2:5" ht="18" x14ac:dyDescent="0.35">
      <c r="B26" s="61">
        <v>23</v>
      </c>
      <c r="C26" s="178" t="s">
        <v>112</v>
      </c>
      <c r="D26" s="65" t="s">
        <v>15</v>
      </c>
      <c r="E26" s="7">
        <v>7175</v>
      </c>
    </row>
    <row r="27" spans="2:5" ht="18" x14ac:dyDescent="0.35">
      <c r="B27" s="61">
        <v>24</v>
      </c>
      <c r="C27" s="66" t="s">
        <v>101</v>
      </c>
      <c r="D27" s="65" t="s">
        <v>15</v>
      </c>
      <c r="E27" s="7">
        <v>4418</v>
      </c>
    </row>
    <row r="28" spans="2:5" ht="18" x14ac:dyDescent="0.35">
      <c r="B28" s="61">
        <v>25</v>
      </c>
      <c r="C28" s="66" t="s">
        <v>131</v>
      </c>
      <c r="D28" s="65" t="s">
        <v>15</v>
      </c>
      <c r="E28" s="7">
        <v>4375</v>
      </c>
    </row>
    <row r="29" spans="2:5" ht="18" x14ac:dyDescent="0.35">
      <c r="B29" s="61">
        <v>26</v>
      </c>
      <c r="C29" s="66" t="s">
        <v>87</v>
      </c>
      <c r="D29" s="65" t="s">
        <v>15</v>
      </c>
      <c r="E29" s="7">
        <v>4813</v>
      </c>
    </row>
    <row r="30" spans="2:5" ht="20.399999999999999" customHeight="1" x14ac:dyDescent="0.35">
      <c r="B30" s="61">
        <v>27</v>
      </c>
      <c r="C30" s="64" t="s">
        <v>76</v>
      </c>
      <c r="D30" s="65" t="s">
        <v>14</v>
      </c>
      <c r="E30" s="7">
        <v>4080</v>
      </c>
    </row>
    <row r="31" spans="2:5" ht="20.399999999999999" customHeight="1" x14ac:dyDescent="0.35">
      <c r="B31" s="61">
        <v>28</v>
      </c>
      <c r="C31" s="64" t="s">
        <v>187</v>
      </c>
      <c r="D31" s="65" t="s">
        <v>16</v>
      </c>
      <c r="E31" s="7">
        <v>6660</v>
      </c>
    </row>
    <row r="32" spans="2:5" ht="20.399999999999999" customHeight="1" x14ac:dyDescent="0.35">
      <c r="B32" s="61">
        <v>29</v>
      </c>
      <c r="C32" s="64" t="s">
        <v>115</v>
      </c>
      <c r="D32" s="65" t="s">
        <v>16</v>
      </c>
      <c r="E32" s="7">
        <v>3690</v>
      </c>
    </row>
    <row r="33" spans="2:5" ht="21" customHeight="1" x14ac:dyDescent="0.35">
      <c r="B33" s="61">
        <v>30</v>
      </c>
      <c r="C33" s="64" t="s">
        <v>132</v>
      </c>
      <c r="D33" s="65" t="s">
        <v>16</v>
      </c>
      <c r="E33" s="7">
        <v>2160</v>
      </c>
    </row>
    <row r="34" spans="2:5" ht="20.399999999999999" customHeight="1" x14ac:dyDescent="0.35">
      <c r="B34" s="61">
        <v>31</v>
      </c>
      <c r="C34" s="64" t="s">
        <v>139</v>
      </c>
      <c r="D34" s="65" t="s">
        <v>16</v>
      </c>
      <c r="E34" s="7">
        <v>3780</v>
      </c>
    </row>
    <row r="35" spans="2:5" ht="20.399999999999999" customHeight="1" x14ac:dyDescent="0.35">
      <c r="B35" s="61">
        <v>32</v>
      </c>
      <c r="C35" s="178" t="s">
        <v>142</v>
      </c>
      <c r="D35" s="65" t="s">
        <v>16</v>
      </c>
      <c r="E35" s="7">
        <v>6030</v>
      </c>
    </row>
    <row r="36" spans="2:5" ht="18" x14ac:dyDescent="0.35">
      <c r="B36" s="61">
        <v>33</v>
      </c>
      <c r="C36" s="66" t="s">
        <v>186</v>
      </c>
      <c r="D36" s="65" t="s">
        <v>14</v>
      </c>
      <c r="E36" s="7">
        <v>5185</v>
      </c>
    </row>
    <row r="37" spans="2:5" ht="18" x14ac:dyDescent="0.35">
      <c r="B37" s="61">
        <v>34</v>
      </c>
      <c r="C37" s="66" t="s">
        <v>94</v>
      </c>
      <c r="D37" s="65" t="s">
        <v>49</v>
      </c>
      <c r="E37" s="7">
        <v>3150</v>
      </c>
    </row>
    <row r="38" spans="2:5" ht="18" x14ac:dyDescent="0.35">
      <c r="B38" s="61">
        <v>35</v>
      </c>
      <c r="C38" s="66" t="s">
        <v>148</v>
      </c>
      <c r="D38" s="65" t="s">
        <v>49</v>
      </c>
      <c r="E38" s="7">
        <v>775</v>
      </c>
    </row>
    <row r="39" spans="2:5" ht="18" x14ac:dyDescent="0.35">
      <c r="B39" s="61">
        <v>36</v>
      </c>
      <c r="C39" s="66" t="s">
        <v>85</v>
      </c>
      <c r="D39" s="65" t="s">
        <v>49</v>
      </c>
      <c r="E39" s="7">
        <v>2713</v>
      </c>
    </row>
    <row r="40" spans="2:5" ht="18" x14ac:dyDescent="0.35">
      <c r="B40" s="61">
        <v>37</v>
      </c>
      <c r="C40" s="66" t="s">
        <v>162</v>
      </c>
      <c r="D40" s="65" t="s">
        <v>49</v>
      </c>
      <c r="E40" s="7">
        <v>1920</v>
      </c>
    </row>
    <row r="41" spans="2:5" ht="18" x14ac:dyDescent="0.35">
      <c r="B41" s="61">
        <v>38</v>
      </c>
      <c r="C41" s="64" t="s">
        <v>6</v>
      </c>
      <c r="D41" s="63" t="s">
        <v>47</v>
      </c>
      <c r="E41" s="7">
        <v>1617</v>
      </c>
    </row>
    <row r="42" spans="2:5" ht="18" x14ac:dyDescent="0.35">
      <c r="B42" s="61">
        <v>39</v>
      </c>
      <c r="C42" s="62" t="s">
        <v>3</v>
      </c>
      <c r="D42" s="63" t="s">
        <v>46</v>
      </c>
      <c r="E42" s="7">
        <v>3924</v>
      </c>
    </row>
    <row r="43" spans="2:5" ht="18" x14ac:dyDescent="0.35">
      <c r="B43" s="61">
        <v>40</v>
      </c>
      <c r="C43" s="66" t="s">
        <v>90</v>
      </c>
      <c r="D43" s="65" t="s">
        <v>83</v>
      </c>
      <c r="E43" s="7">
        <v>1530</v>
      </c>
    </row>
    <row r="44" spans="2:5" ht="18" x14ac:dyDescent="0.35">
      <c r="B44" s="61">
        <v>41</v>
      </c>
      <c r="C44" s="179" t="s">
        <v>70</v>
      </c>
      <c r="D44" s="63" t="s">
        <v>48</v>
      </c>
      <c r="E44" s="6">
        <v>3417</v>
      </c>
    </row>
    <row r="45" spans="2:5" ht="18" x14ac:dyDescent="0.35">
      <c r="B45" s="61">
        <v>42</v>
      </c>
      <c r="C45" s="179" t="s">
        <v>8</v>
      </c>
      <c r="D45" s="63" t="s">
        <v>48</v>
      </c>
      <c r="E45" s="6">
        <v>3636</v>
      </c>
    </row>
    <row r="46" spans="2:5" ht="18" x14ac:dyDescent="0.35">
      <c r="B46" s="61">
        <v>43</v>
      </c>
      <c r="C46" s="179" t="s">
        <v>63</v>
      </c>
      <c r="D46" s="63" t="s">
        <v>48</v>
      </c>
      <c r="E46" s="6">
        <v>3994</v>
      </c>
    </row>
    <row r="47" spans="2:5" ht="18" x14ac:dyDescent="0.35">
      <c r="B47" s="61">
        <v>44</v>
      </c>
      <c r="C47" s="179" t="s">
        <v>9</v>
      </c>
      <c r="D47" s="63" t="s">
        <v>48</v>
      </c>
      <c r="E47" s="6">
        <v>4830</v>
      </c>
    </row>
    <row r="48" spans="2:5" ht="18" x14ac:dyDescent="0.35">
      <c r="B48" s="61">
        <v>45</v>
      </c>
      <c r="C48" s="179" t="s">
        <v>10</v>
      </c>
      <c r="D48" s="63" t="s">
        <v>48</v>
      </c>
      <c r="E48" s="6">
        <v>2941</v>
      </c>
    </row>
    <row r="49" spans="2:5" ht="18" x14ac:dyDescent="0.35">
      <c r="B49" s="61">
        <v>46</v>
      </c>
      <c r="C49" s="64" t="s">
        <v>59</v>
      </c>
      <c r="D49" s="65" t="s">
        <v>36</v>
      </c>
      <c r="E49" s="7">
        <v>6282</v>
      </c>
    </row>
    <row r="50" spans="2:5" ht="18" x14ac:dyDescent="0.35">
      <c r="B50" s="61">
        <v>47</v>
      </c>
      <c r="C50" s="64" t="s">
        <v>71</v>
      </c>
      <c r="D50" s="65" t="s">
        <v>36</v>
      </c>
      <c r="E50" s="7">
        <v>9438</v>
      </c>
    </row>
    <row r="51" spans="2:5" ht="18" x14ac:dyDescent="0.35">
      <c r="B51" s="61">
        <v>48</v>
      </c>
      <c r="C51" s="64" t="s">
        <v>12</v>
      </c>
      <c r="D51" s="65" t="s">
        <v>36</v>
      </c>
      <c r="E51" s="7">
        <v>10120</v>
      </c>
    </row>
    <row r="52" spans="2:5" ht="18" x14ac:dyDescent="0.35">
      <c r="B52" s="61">
        <v>49</v>
      </c>
      <c r="C52" s="67" t="s">
        <v>62</v>
      </c>
      <c r="D52" s="65" t="s">
        <v>51</v>
      </c>
      <c r="E52" s="11">
        <v>250</v>
      </c>
    </row>
    <row r="53" spans="2:5" ht="18" x14ac:dyDescent="0.35">
      <c r="B53" s="61">
        <v>50</v>
      </c>
      <c r="C53" s="67" t="s">
        <v>52</v>
      </c>
      <c r="D53" s="65" t="s">
        <v>53</v>
      </c>
      <c r="E53" s="7">
        <v>2000</v>
      </c>
    </row>
    <row r="54" spans="2:5" ht="18" x14ac:dyDescent="0.35">
      <c r="B54" s="61">
        <v>51</v>
      </c>
      <c r="C54" s="67" t="s">
        <v>54</v>
      </c>
      <c r="D54" s="65" t="s">
        <v>53</v>
      </c>
      <c r="E54" s="7">
        <v>1800</v>
      </c>
    </row>
    <row r="55" spans="2:5" ht="18" x14ac:dyDescent="0.35">
      <c r="B55" s="61">
        <v>52</v>
      </c>
      <c r="C55" s="67" t="s">
        <v>188</v>
      </c>
      <c r="D55" s="65" t="s">
        <v>189</v>
      </c>
      <c r="E55" s="7">
        <v>2018</v>
      </c>
    </row>
    <row r="56" spans="2:5" ht="18" x14ac:dyDescent="0.35">
      <c r="B56" s="61">
        <v>53</v>
      </c>
      <c r="C56" s="67" t="s">
        <v>191</v>
      </c>
      <c r="D56" s="65" t="s">
        <v>190</v>
      </c>
      <c r="E56" s="7">
        <v>5166</v>
      </c>
    </row>
    <row r="57" spans="2:5" ht="18" x14ac:dyDescent="0.35">
      <c r="B57" s="61">
        <v>54</v>
      </c>
      <c r="C57" s="66" t="s">
        <v>121</v>
      </c>
      <c r="D57" s="65" t="s">
        <v>122</v>
      </c>
      <c r="E57" s="7">
        <v>2528</v>
      </c>
    </row>
    <row r="58" spans="2:5" ht="18" x14ac:dyDescent="0.35">
      <c r="B58" s="61">
        <v>55</v>
      </c>
      <c r="C58" s="66" t="s">
        <v>194</v>
      </c>
      <c r="D58" s="65" t="s">
        <v>194</v>
      </c>
      <c r="E58" s="7">
        <v>2020</v>
      </c>
    </row>
    <row r="59" spans="2:5" ht="18" x14ac:dyDescent="0.35">
      <c r="B59" s="61">
        <v>56</v>
      </c>
      <c r="C59" s="66" t="s">
        <v>74</v>
      </c>
      <c r="D59" s="65" t="s">
        <v>50</v>
      </c>
      <c r="E59" s="7">
        <v>17899</v>
      </c>
    </row>
    <row r="60" spans="2:5" ht="18" x14ac:dyDescent="0.35">
      <c r="B60" s="61">
        <v>57</v>
      </c>
      <c r="C60" s="66" t="s">
        <v>129</v>
      </c>
      <c r="D60" s="65" t="s">
        <v>127</v>
      </c>
      <c r="E60" s="7">
        <v>3000</v>
      </c>
    </row>
    <row r="61" spans="2:5" ht="24" thickBot="1" x14ac:dyDescent="0.5">
      <c r="B61" s="177"/>
      <c r="C61" s="182"/>
      <c r="D61" s="68" t="s">
        <v>4</v>
      </c>
      <c r="E61" s="69">
        <f>SUM(E4:E60)</f>
        <v>236445</v>
      </c>
    </row>
    <row r="62" spans="2:5" ht="15.6" x14ac:dyDescent="0.3">
      <c r="E62" s="85"/>
    </row>
    <row r="63" spans="2:5" ht="15.6" x14ac:dyDescent="0.3">
      <c r="D63" s="85"/>
      <c r="E63" s="85"/>
    </row>
    <row r="64" spans="2:5" ht="18" x14ac:dyDescent="0.35">
      <c r="B64" s="61">
        <v>3</v>
      </c>
      <c r="C64" s="64" t="s">
        <v>97</v>
      </c>
      <c r="D64" s="65" t="s">
        <v>14</v>
      </c>
      <c r="E64" s="7"/>
    </row>
    <row r="65" spans="2:5" ht="18" x14ac:dyDescent="0.35">
      <c r="B65" s="61">
        <v>4</v>
      </c>
      <c r="C65" s="64" t="s">
        <v>103</v>
      </c>
      <c r="D65" s="65" t="s">
        <v>15</v>
      </c>
      <c r="E65" s="7"/>
    </row>
    <row r="66" spans="2:5" ht="18" x14ac:dyDescent="0.35">
      <c r="B66" s="61">
        <v>5</v>
      </c>
      <c r="C66" s="64" t="s">
        <v>98</v>
      </c>
      <c r="D66" s="65" t="s">
        <v>14</v>
      </c>
      <c r="E66" s="7"/>
    </row>
    <row r="67" spans="2:5" ht="18" x14ac:dyDescent="0.35">
      <c r="B67" s="61">
        <v>6</v>
      </c>
      <c r="C67" s="66" t="s">
        <v>96</v>
      </c>
      <c r="D67" s="65" t="s">
        <v>14</v>
      </c>
      <c r="E67" s="7"/>
    </row>
    <row r="68" spans="2:5" ht="18" x14ac:dyDescent="0.35">
      <c r="B68" s="61">
        <v>7</v>
      </c>
      <c r="C68" s="66" t="s">
        <v>100</v>
      </c>
      <c r="D68" s="65" t="s">
        <v>14</v>
      </c>
      <c r="E68" s="7"/>
    </row>
    <row r="69" spans="2:5" ht="18" x14ac:dyDescent="0.35">
      <c r="B69" s="61">
        <v>8</v>
      </c>
      <c r="C69" s="66" t="s">
        <v>99</v>
      </c>
      <c r="D69" s="65" t="s">
        <v>14</v>
      </c>
      <c r="E69" s="7"/>
    </row>
  </sheetData>
  <mergeCells count="1">
    <mergeCell ref="B2:E2"/>
  </mergeCells>
  <pageMargins left="0.7" right="0.7" top="0.75" bottom="0.75" header="0.3" footer="0.3"/>
  <pageSetup paperSize="9"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0732-6ACA-4E2E-98C2-81CC503075F2}">
  <sheetPr>
    <pageSetUpPr fitToPage="1"/>
  </sheetPr>
  <dimension ref="A1:J55"/>
  <sheetViews>
    <sheetView topLeftCell="A8" zoomScale="48" zoomScaleNormal="100" workbookViewId="0">
      <selection activeCell="G34" sqref="G34"/>
    </sheetView>
  </sheetViews>
  <sheetFormatPr defaultRowHeight="14.4" x14ac:dyDescent="0.3"/>
  <cols>
    <col min="2" max="2" width="18.6640625" customWidth="1"/>
    <col min="3" max="3" width="49.21875" customWidth="1"/>
    <col min="4" max="4" width="21.21875" customWidth="1"/>
    <col min="5" max="5" width="13.88671875" customWidth="1"/>
    <col min="6" max="6" width="15.6640625" customWidth="1"/>
    <col min="7" max="7" width="17.77734375" customWidth="1"/>
    <col min="8" max="9" width="11.88671875" customWidth="1"/>
    <col min="10" max="10" width="10.5546875" bestFit="1" customWidth="1"/>
  </cols>
  <sheetData>
    <row r="1" spans="2:8" ht="15" thickBot="1" x14ac:dyDescent="0.35"/>
    <row r="2" spans="2:8" ht="32.4" customHeight="1" thickBot="1" x14ac:dyDescent="0.45">
      <c r="B2" s="194" t="s">
        <v>182</v>
      </c>
      <c r="C2" s="195"/>
      <c r="D2" s="195"/>
      <c r="E2" s="195"/>
      <c r="F2" s="196"/>
    </row>
    <row r="3" spans="2:8" ht="24.9" customHeight="1" thickBot="1" x14ac:dyDescent="0.45">
      <c r="B3" s="37" t="s">
        <v>31</v>
      </c>
      <c r="C3" s="241" t="s">
        <v>32</v>
      </c>
      <c r="D3" s="242"/>
      <c r="E3" s="243" t="s">
        <v>33</v>
      </c>
      <c r="F3" s="244"/>
    </row>
    <row r="4" spans="2:8" ht="24.9" customHeight="1" x14ac:dyDescent="0.7">
      <c r="B4" s="38"/>
      <c r="C4" s="245"/>
      <c r="D4" s="246"/>
      <c r="E4" s="247"/>
      <c r="F4" s="248"/>
    </row>
    <row r="5" spans="2:8" ht="24.9" customHeight="1" x14ac:dyDescent="0.4">
      <c r="B5" s="39">
        <v>1</v>
      </c>
      <c r="C5" s="229" t="s">
        <v>146</v>
      </c>
      <c r="D5" s="230"/>
      <c r="E5" s="237">
        <v>9145</v>
      </c>
      <c r="F5" s="238"/>
      <c r="H5" t="s">
        <v>37</v>
      </c>
    </row>
    <row r="6" spans="2:8" ht="24.9" customHeight="1" x14ac:dyDescent="0.4">
      <c r="B6" s="39">
        <v>2</v>
      </c>
      <c r="C6" s="229" t="s">
        <v>147</v>
      </c>
      <c r="D6" s="230"/>
      <c r="E6" s="237">
        <v>122418</v>
      </c>
      <c r="F6" s="238"/>
    </row>
    <row r="7" spans="2:8" ht="24.9" customHeight="1" x14ac:dyDescent="0.4">
      <c r="B7" s="39">
        <v>3</v>
      </c>
      <c r="C7" s="229" t="s">
        <v>38</v>
      </c>
      <c r="D7" s="230"/>
      <c r="E7" s="237">
        <v>6638</v>
      </c>
      <c r="F7" s="238"/>
    </row>
    <row r="8" spans="2:8" ht="24.9" customHeight="1" x14ac:dyDescent="0.4">
      <c r="B8" s="39">
        <v>4</v>
      </c>
      <c r="C8" s="229" t="s">
        <v>68</v>
      </c>
      <c r="D8" s="230"/>
      <c r="E8" s="237">
        <v>9835</v>
      </c>
      <c r="F8" s="238"/>
    </row>
    <row r="9" spans="2:8" ht="24.9" customHeight="1" x14ac:dyDescent="0.4">
      <c r="B9" s="39">
        <v>5</v>
      </c>
      <c r="C9" s="231" t="s">
        <v>34</v>
      </c>
      <c r="D9" s="232"/>
      <c r="E9" s="233">
        <v>1617</v>
      </c>
      <c r="F9" s="234"/>
    </row>
    <row r="10" spans="2:8" ht="24.9" customHeight="1" x14ac:dyDescent="0.4">
      <c r="B10" s="39">
        <v>6</v>
      </c>
      <c r="C10" s="231" t="s">
        <v>61</v>
      </c>
      <c r="D10" s="232"/>
      <c r="E10" s="233">
        <v>3924</v>
      </c>
      <c r="F10" s="234"/>
    </row>
    <row r="11" spans="2:8" ht="24.9" customHeight="1" x14ac:dyDescent="0.4">
      <c r="B11" s="39">
        <v>7</v>
      </c>
      <c r="C11" s="229" t="s">
        <v>81</v>
      </c>
      <c r="D11" s="230"/>
      <c r="E11" s="237">
        <v>1530</v>
      </c>
      <c r="F11" s="238"/>
    </row>
    <row r="12" spans="2:8" ht="24.9" customHeight="1" x14ac:dyDescent="0.4">
      <c r="B12" s="39">
        <v>8</v>
      </c>
      <c r="C12" s="229" t="s">
        <v>35</v>
      </c>
      <c r="D12" s="230"/>
      <c r="E12" s="237">
        <v>18817</v>
      </c>
      <c r="F12" s="238"/>
    </row>
    <row r="13" spans="2:8" ht="24.9" customHeight="1" x14ac:dyDescent="0.4">
      <c r="B13" s="39">
        <v>9</v>
      </c>
      <c r="C13" s="229" t="s">
        <v>36</v>
      </c>
      <c r="D13" s="230"/>
      <c r="E13" s="237">
        <v>25840</v>
      </c>
      <c r="F13" s="238"/>
    </row>
    <row r="14" spans="2:8" ht="24.9" customHeight="1" x14ac:dyDescent="0.4">
      <c r="B14" s="39">
        <v>10</v>
      </c>
      <c r="C14" s="229" t="s">
        <v>84</v>
      </c>
      <c r="D14" s="230"/>
      <c r="E14" s="237">
        <v>4050</v>
      </c>
      <c r="F14" s="238"/>
    </row>
    <row r="15" spans="2:8" ht="24.9" customHeight="1" x14ac:dyDescent="0.4">
      <c r="B15" s="39">
        <v>11</v>
      </c>
      <c r="C15" s="229" t="s">
        <v>165</v>
      </c>
      <c r="D15" s="230"/>
      <c r="E15" s="237">
        <v>2018</v>
      </c>
      <c r="F15" s="238"/>
    </row>
    <row r="16" spans="2:8" ht="24.9" customHeight="1" x14ac:dyDescent="0.4">
      <c r="B16" s="39">
        <v>12</v>
      </c>
      <c r="C16" s="229" t="s">
        <v>166</v>
      </c>
      <c r="D16" s="230"/>
      <c r="E16" s="237">
        <v>5166</v>
      </c>
      <c r="F16" s="238"/>
    </row>
    <row r="17" spans="1:8" ht="24.9" customHeight="1" x14ac:dyDescent="0.4">
      <c r="B17" s="39">
        <v>13</v>
      </c>
      <c r="C17" s="229" t="s">
        <v>120</v>
      </c>
      <c r="D17" s="230"/>
      <c r="E17" s="237">
        <v>2528</v>
      </c>
      <c r="F17" s="238"/>
    </row>
    <row r="18" spans="1:8" ht="24.9" customHeight="1" x14ac:dyDescent="0.4">
      <c r="B18" s="39">
        <v>14</v>
      </c>
      <c r="C18" s="229" t="s">
        <v>194</v>
      </c>
      <c r="D18" s="230"/>
      <c r="E18" s="237">
        <v>2020</v>
      </c>
      <c r="F18" s="238"/>
    </row>
    <row r="19" spans="1:8" ht="24.9" customHeight="1" x14ac:dyDescent="0.4">
      <c r="B19" s="39">
        <v>15</v>
      </c>
      <c r="C19" s="231" t="s">
        <v>29</v>
      </c>
      <c r="D19" s="232"/>
      <c r="E19" s="233">
        <v>17899</v>
      </c>
      <c r="F19" s="234"/>
    </row>
    <row r="20" spans="1:8" ht="24.9" customHeight="1" x14ac:dyDescent="0.4">
      <c r="B20" s="39">
        <v>16</v>
      </c>
      <c r="C20" s="231" t="s">
        <v>127</v>
      </c>
      <c r="D20" s="232"/>
      <c r="E20" s="233">
        <v>3000</v>
      </c>
      <c r="F20" s="234"/>
    </row>
    <row r="21" spans="1:8" ht="24.9" customHeight="1" thickBot="1" x14ac:dyDescent="0.45">
      <c r="B21" s="39"/>
      <c r="C21" s="229"/>
      <c r="D21" s="230"/>
      <c r="E21" s="239"/>
      <c r="F21" s="240"/>
    </row>
    <row r="22" spans="1:8" ht="24.9" customHeight="1" thickBot="1" x14ac:dyDescent="0.45">
      <c r="B22" s="39"/>
      <c r="C22" s="229" t="s">
        <v>39</v>
      </c>
      <c r="D22" s="230"/>
      <c r="E22" s="235">
        <f>SUM(E5:F21)</f>
        <v>236445</v>
      </c>
      <c r="F22" s="236"/>
      <c r="G22" s="40"/>
      <c r="H22" s="41"/>
    </row>
    <row r="23" spans="1:8" ht="24.9" customHeight="1" x14ac:dyDescent="0.4">
      <c r="B23" s="39"/>
      <c r="C23" s="229"/>
      <c r="D23" s="230"/>
      <c r="E23" s="227"/>
      <c r="F23" s="228"/>
      <c r="G23" s="40"/>
    </row>
    <row r="24" spans="1:8" ht="24.9" customHeight="1" x14ac:dyDescent="0.4">
      <c r="B24" s="39"/>
      <c r="C24" s="231" t="s">
        <v>40</v>
      </c>
      <c r="D24" s="232"/>
      <c r="E24" s="231">
        <f>'BANK -TRANSFER'!E61</f>
        <v>236445</v>
      </c>
      <c r="F24" s="232"/>
      <c r="G24" s="40"/>
    </row>
    <row r="25" spans="1:8" ht="24.9" customHeight="1" thickBot="1" x14ac:dyDescent="0.5">
      <c r="B25" s="42"/>
      <c r="C25" s="254"/>
      <c r="D25" s="255"/>
      <c r="E25" s="256"/>
      <c r="F25" s="257"/>
      <c r="G25" s="43"/>
    </row>
    <row r="26" spans="1:8" ht="27" customHeight="1" thickBot="1" x14ac:dyDescent="0.75">
      <c r="B26" s="44"/>
      <c r="C26" s="252" t="s">
        <v>4</v>
      </c>
      <c r="D26" s="253"/>
      <c r="E26" s="235">
        <f>SUM(E24:F24)</f>
        <v>236445</v>
      </c>
      <c r="F26" s="236"/>
      <c r="G26" s="45"/>
    </row>
    <row r="27" spans="1:8" ht="22.5" customHeight="1" thickBot="1" x14ac:dyDescent="0.75">
      <c r="B27" s="46"/>
      <c r="E27" s="46"/>
      <c r="F27" s="46"/>
    </row>
    <row r="28" spans="1:8" ht="24.9" customHeight="1" thickBot="1" x14ac:dyDescent="0.45">
      <c r="A28" s="47"/>
      <c r="B28" s="194" t="s">
        <v>183</v>
      </c>
      <c r="C28" s="195"/>
      <c r="D28" s="195"/>
      <c r="E28" s="195"/>
      <c r="F28" s="196"/>
    </row>
    <row r="29" spans="1:8" ht="24.9" customHeight="1" thickBot="1" x14ac:dyDescent="0.45">
      <c r="A29" s="47"/>
      <c r="B29" s="194" t="s">
        <v>41</v>
      </c>
      <c r="C29" s="196"/>
      <c r="D29" s="48" t="s">
        <v>26</v>
      </c>
      <c r="E29" s="49" t="s">
        <v>27</v>
      </c>
      <c r="F29" s="48" t="s">
        <v>42</v>
      </c>
    </row>
    <row r="30" spans="1:8" ht="24.9" customHeight="1" x14ac:dyDescent="0.4">
      <c r="B30" s="250"/>
      <c r="C30" s="251"/>
      <c r="D30" s="50"/>
      <c r="E30" s="51"/>
      <c r="F30" s="52"/>
    </row>
    <row r="31" spans="1:8" ht="24.9" customHeight="1" x14ac:dyDescent="0.4">
      <c r="B31" s="233" t="s">
        <v>177</v>
      </c>
      <c r="C31" s="249"/>
      <c r="D31" s="183">
        <v>640</v>
      </c>
      <c r="E31" s="51">
        <v>40</v>
      </c>
      <c r="F31" s="113">
        <f t="shared" ref="F31:F33" si="0">D31*E31</f>
        <v>25600</v>
      </c>
    </row>
    <row r="32" spans="1:8" ht="24.9" customHeight="1" x14ac:dyDescent="0.4">
      <c r="B32" s="233" t="s">
        <v>180</v>
      </c>
      <c r="C32" s="249"/>
      <c r="D32" s="183">
        <v>1100</v>
      </c>
      <c r="E32" s="51">
        <v>40</v>
      </c>
      <c r="F32" s="113">
        <f t="shared" ref="F32" si="1">D32*E32</f>
        <v>44000</v>
      </c>
    </row>
    <row r="33" spans="2:10" ht="24.9" customHeight="1" x14ac:dyDescent="0.4">
      <c r="B33" s="233" t="s">
        <v>178</v>
      </c>
      <c r="C33" s="249"/>
      <c r="D33" s="183">
        <v>4870</v>
      </c>
      <c r="E33" s="51">
        <v>25</v>
      </c>
      <c r="F33" s="113">
        <f t="shared" si="0"/>
        <v>121750</v>
      </c>
    </row>
    <row r="34" spans="2:10" ht="24.9" customHeight="1" x14ac:dyDescent="0.4">
      <c r="B34" s="233" t="s">
        <v>176</v>
      </c>
      <c r="C34" s="249"/>
      <c r="D34" s="183">
        <v>800</v>
      </c>
      <c r="E34" s="51">
        <v>20</v>
      </c>
      <c r="F34" s="113">
        <f t="shared" ref="F34" si="2">D34*E34</f>
        <v>16000</v>
      </c>
    </row>
    <row r="35" spans="2:10" ht="24.9" customHeight="1" x14ac:dyDescent="0.4">
      <c r="B35" s="233" t="s">
        <v>179</v>
      </c>
      <c r="C35" s="249"/>
      <c r="D35" s="183">
        <v>8949</v>
      </c>
      <c r="E35" s="51">
        <v>6.8</v>
      </c>
      <c r="F35" s="113">
        <f t="shared" ref="F35" si="3">D35*E35</f>
        <v>60853.2</v>
      </c>
    </row>
    <row r="36" spans="2:10" ht="24.9" customHeight="1" x14ac:dyDescent="0.4">
      <c r="B36" s="233" t="s">
        <v>181</v>
      </c>
      <c r="C36" s="249"/>
      <c r="D36" s="183">
        <v>7400</v>
      </c>
      <c r="E36" s="51">
        <v>1</v>
      </c>
      <c r="F36" s="113">
        <f t="shared" ref="F36" si="4">D36*E36</f>
        <v>7400</v>
      </c>
    </row>
    <row r="37" spans="2:10" ht="24.9" customHeight="1" thickBot="1" x14ac:dyDescent="0.75">
      <c r="B37" s="260"/>
      <c r="C37" s="261"/>
      <c r="D37" s="53"/>
      <c r="E37" s="17"/>
      <c r="F37" s="18"/>
    </row>
    <row r="38" spans="2:10" ht="24.9" customHeight="1" thickBot="1" x14ac:dyDescent="0.45">
      <c r="B38" s="258" t="s">
        <v>43</v>
      </c>
      <c r="C38" s="259"/>
      <c r="D38" s="55">
        <f>SUM(D31:D37)</f>
        <v>23759</v>
      </c>
      <c r="E38" s="55"/>
      <c r="F38" s="55">
        <f>SUM(F31:F37)</f>
        <v>275603.20000000001</v>
      </c>
      <c r="H38" s="111"/>
    </row>
    <row r="39" spans="2:10" ht="16.5" customHeight="1" x14ac:dyDescent="0.7">
      <c r="B39" s="56"/>
      <c r="C39" s="56"/>
      <c r="D39" s="56"/>
      <c r="E39" s="46"/>
    </row>
    <row r="40" spans="2:10" x14ac:dyDescent="0.3">
      <c r="B40" s="57"/>
      <c r="C40" s="57"/>
      <c r="D40" s="57"/>
      <c r="E40" s="57"/>
    </row>
    <row r="47" spans="2:10" ht="21" x14ac:dyDescent="0.4">
      <c r="F47" s="262"/>
      <c r="G47" s="262"/>
      <c r="I47" s="83"/>
      <c r="J47" s="83"/>
    </row>
    <row r="48" spans="2:10" ht="21" x14ac:dyDescent="0.4">
      <c r="F48" s="262"/>
      <c r="G48" s="262"/>
      <c r="H48" s="83"/>
      <c r="I48" s="83"/>
      <c r="J48" s="83"/>
    </row>
    <row r="49" spans="6:10" ht="21" x14ac:dyDescent="0.4">
      <c r="F49" s="262"/>
      <c r="G49" s="262"/>
      <c r="H49" s="83"/>
      <c r="I49" s="83"/>
      <c r="J49" s="83"/>
    </row>
    <row r="50" spans="6:10" ht="21" x14ac:dyDescent="0.4">
      <c r="F50" s="262"/>
      <c r="G50" s="262"/>
      <c r="H50" s="83"/>
      <c r="I50" s="83"/>
      <c r="J50" s="83"/>
    </row>
    <row r="51" spans="6:10" ht="21" x14ac:dyDescent="0.4">
      <c r="F51" s="262"/>
      <c r="G51" s="262"/>
      <c r="H51" s="83"/>
      <c r="I51" s="83"/>
      <c r="J51" s="83"/>
    </row>
    <row r="52" spans="6:10" ht="21" x14ac:dyDescent="0.4">
      <c r="F52" s="262"/>
      <c r="G52" s="262"/>
      <c r="H52" s="83"/>
      <c r="I52" s="83"/>
      <c r="J52" s="83"/>
    </row>
    <row r="53" spans="6:10" ht="21" x14ac:dyDescent="0.4">
      <c r="F53" s="262"/>
      <c r="G53" s="262"/>
      <c r="H53" s="83"/>
      <c r="I53" s="83"/>
      <c r="J53" s="83"/>
    </row>
    <row r="54" spans="6:10" ht="21" x14ac:dyDescent="0.4">
      <c r="F54" s="262"/>
      <c r="G54" s="262"/>
      <c r="H54" s="83"/>
      <c r="I54" s="83"/>
      <c r="J54" s="83"/>
    </row>
    <row r="55" spans="6:10" ht="21" x14ac:dyDescent="0.4">
      <c r="F55" s="262"/>
      <c r="G55" s="262"/>
      <c r="H55" s="83"/>
      <c r="I55" s="83"/>
      <c r="J55" s="83"/>
    </row>
  </sheetData>
  <mergeCells count="69">
    <mergeCell ref="B38:C38"/>
    <mergeCell ref="B37:C37"/>
    <mergeCell ref="F55:G55"/>
    <mergeCell ref="F47:G47"/>
    <mergeCell ref="F48:G48"/>
    <mergeCell ref="F49:G49"/>
    <mergeCell ref="F50:G50"/>
    <mergeCell ref="F51:G51"/>
    <mergeCell ref="F52:G52"/>
    <mergeCell ref="F53:G53"/>
    <mergeCell ref="F54:G54"/>
    <mergeCell ref="B36:C36"/>
    <mergeCell ref="B30:C30"/>
    <mergeCell ref="C26:D26"/>
    <mergeCell ref="C25:D25"/>
    <mergeCell ref="B29:C29"/>
    <mergeCell ref="B28:F28"/>
    <mergeCell ref="E25:F25"/>
    <mergeCell ref="E26:F26"/>
    <mergeCell ref="B35:C35"/>
    <mergeCell ref="B31:C31"/>
    <mergeCell ref="B33:C33"/>
    <mergeCell ref="B32:C32"/>
    <mergeCell ref="B34:C34"/>
    <mergeCell ref="B2:F2"/>
    <mergeCell ref="C3:D3"/>
    <mergeCell ref="E3:F3"/>
    <mergeCell ref="C4:D4"/>
    <mergeCell ref="E4:F4"/>
    <mergeCell ref="C15:D15"/>
    <mergeCell ref="E15:F15"/>
    <mergeCell ref="C5:D5"/>
    <mergeCell ref="E5:F5"/>
    <mergeCell ref="C6:D6"/>
    <mergeCell ref="E6:F6"/>
    <mergeCell ref="C7:D7"/>
    <mergeCell ref="E7:F7"/>
    <mergeCell ref="C16:D16"/>
    <mergeCell ref="E16:F16"/>
    <mergeCell ref="C8:D8"/>
    <mergeCell ref="E17:F17"/>
    <mergeCell ref="E19:F19"/>
    <mergeCell ref="E8:F8"/>
    <mergeCell ref="C12:D12"/>
    <mergeCell ref="E12:F12"/>
    <mergeCell ref="C9:D9"/>
    <mergeCell ref="E9:F9"/>
    <mergeCell ref="E11:F11"/>
    <mergeCell ref="C11:D11"/>
    <mergeCell ref="C13:D13"/>
    <mergeCell ref="E13:F13"/>
    <mergeCell ref="C17:D17"/>
    <mergeCell ref="C19:D19"/>
    <mergeCell ref="E23:F23"/>
    <mergeCell ref="C23:D23"/>
    <mergeCell ref="C24:D24"/>
    <mergeCell ref="E24:F24"/>
    <mergeCell ref="C10:D10"/>
    <mergeCell ref="C22:D22"/>
    <mergeCell ref="E10:F10"/>
    <mergeCell ref="E22:F22"/>
    <mergeCell ref="C14:D14"/>
    <mergeCell ref="E14:F14"/>
    <mergeCell ref="C21:D21"/>
    <mergeCell ref="E21:F21"/>
    <mergeCell ref="E20:F20"/>
    <mergeCell ref="C20:D20"/>
    <mergeCell ref="C18:D18"/>
    <mergeCell ref="E18:F18"/>
  </mergeCells>
  <pageMargins left="0.7" right="0.7" top="0.75" bottom="0.75" header="0.3" footer="0.3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F7FC-558D-42AF-8C21-AA7C291E9291}">
  <sheetPr>
    <pageSetUpPr fitToPage="1"/>
  </sheetPr>
  <dimension ref="A1:K65"/>
  <sheetViews>
    <sheetView zoomScale="40" zoomScaleNormal="100" workbookViewId="0">
      <selection activeCell="J6" sqref="J6"/>
    </sheetView>
  </sheetViews>
  <sheetFormatPr defaultRowHeight="14.4" x14ac:dyDescent="0.3"/>
  <cols>
    <col min="1" max="1" width="15.33203125" customWidth="1"/>
    <col min="2" max="2" width="8.5546875" customWidth="1"/>
    <col min="3" max="3" width="33.6640625" style="58" customWidth="1"/>
    <col min="4" max="4" width="22.6640625" style="58" customWidth="1"/>
    <col min="5" max="5" width="23.44140625" style="75" bestFit="1" customWidth="1"/>
    <col min="6" max="6" width="11.6640625" style="75" customWidth="1"/>
    <col min="7" max="7" width="9.88671875" style="75" customWidth="1"/>
    <col min="8" max="8" width="14.44140625" style="153" customWidth="1"/>
    <col min="9" max="9" width="16" style="153" customWidth="1"/>
    <col min="10" max="10" width="12.21875" customWidth="1"/>
    <col min="11" max="11" width="15.6640625" customWidth="1"/>
  </cols>
  <sheetData>
    <row r="1" spans="2:11" ht="25.2" x14ac:dyDescent="0.45">
      <c r="B1" s="265" t="s">
        <v>55</v>
      </c>
      <c r="C1" s="265"/>
      <c r="D1" s="265"/>
      <c r="E1" s="265"/>
      <c r="F1" s="265"/>
      <c r="G1" s="265"/>
      <c r="H1" s="265"/>
      <c r="I1" s="265"/>
      <c r="J1" s="151"/>
    </row>
    <row r="2" spans="2:11" ht="26.25" customHeight="1" x14ac:dyDescent="0.45">
      <c r="B2" s="265" t="s">
        <v>56</v>
      </c>
      <c r="C2" s="265"/>
      <c r="D2" s="265"/>
      <c r="E2" s="265"/>
      <c r="F2" s="265"/>
      <c r="G2" s="265"/>
      <c r="H2" s="265"/>
      <c r="I2" s="265"/>
      <c r="J2" s="151"/>
    </row>
    <row r="3" spans="2:11" ht="24.75" customHeight="1" thickBot="1" x14ac:dyDescent="0.5">
      <c r="B3" s="266" t="s">
        <v>57</v>
      </c>
      <c r="C3" s="266"/>
      <c r="D3" s="266"/>
      <c r="E3" s="266"/>
      <c r="F3" s="266"/>
      <c r="G3" s="266"/>
      <c r="H3" s="266"/>
      <c r="I3" s="266"/>
    </row>
    <row r="4" spans="2:11" ht="25.8" thickBot="1" x14ac:dyDescent="0.5">
      <c r="B4" s="204" t="s">
        <v>163</v>
      </c>
      <c r="C4" s="205"/>
      <c r="D4" s="205"/>
      <c r="E4" s="205"/>
      <c r="F4" s="205"/>
      <c r="G4" s="205"/>
      <c r="H4" s="206"/>
      <c r="I4"/>
    </row>
    <row r="5" spans="2:11" ht="31.5" customHeight="1" thickBot="1" x14ac:dyDescent="0.35">
      <c r="B5" s="197" t="s">
        <v>69</v>
      </c>
      <c r="C5" s="198"/>
      <c r="D5" s="198"/>
      <c r="E5" s="198"/>
      <c r="F5" s="198"/>
      <c r="G5" s="198"/>
      <c r="H5" s="199"/>
      <c r="I5"/>
    </row>
    <row r="6" spans="2:11" ht="31.8" customHeight="1" thickBot="1" x14ac:dyDescent="0.45">
      <c r="B6" s="97" t="s">
        <v>31</v>
      </c>
      <c r="C6" s="100" t="s">
        <v>0</v>
      </c>
      <c r="D6" s="132"/>
      <c r="E6" s="133" t="s">
        <v>1</v>
      </c>
      <c r="F6" s="94" t="s">
        <v>13</v>
      </c>
      <c r="G6" s="184"/>
      <c r="H6" s="27" t="s">
        <v>2</v>
      </c>
      <c r="I6"/>
    </row>
    <row r="7" spans="2:11" ht="18" x14ac:dyDescent="0.35">
      <c r="B7" s="140">
        <v>1</v>
      </c>
      <c r="C7" s="104" t="s">
        <v>102</v>
      </c>
      <c r="D7" s="10" t="s">
        <v>14</v>
      </c>
      <c r="E7" s="135" t="s">
        <v>143</v>
      </c>
      <c r="F7" s="143">
        <v>8.75</v>
      </c>
      <c r="G7" s="154">
        <v>410</v>
      </c>
      <c r="H7" s="119">
        <f>F7*G7</f>
        <v>3587.5</v>
      </c>
      <c r="I7"/>
    </row>
    <row r="8" spans="2:11" ht="18" x14ac:dyDescent="0.35">
      <c r="B8" s="140">
        <v>2</v>
      </c>
      <c r="C8" s="104" t="s">
        <v>77</v>
      </c>
      <c r="D8" s="10" t="s">
        <v>14</v>
      </c>
      <c r="E8" s="135" t="s">
        <v>143</v>
      </c>
      <c r="F8" s="143">
        <v>7.75</v>
      </c>
      <c r="G8" s="154">
        <v>450</v>
      </c>
      <c r="H8" s="119">
        <f t="shared" ref="H8:H42" si="0">F8*G8</f>
        <v>3487.5</v>
      </c>
      <c r="I8"/>
    </row>
    <row r="9" spans="2:11" ht="18" x14ac:dyDescent="0.35">
      <c r="B9" s="140">
        <v>3</v>
      </c>
      <c r="C9" s="104" t="s">
        <v>138</v>
      </c>
      <c r="D9" s="142" t="s">
        <v>15</v>
      </c>
      <c r="E9" s="135" t="s">
        <v>143</v>
      </c>
      <c r="F9" s="143">
        <v>8.75</v>
      </c>
      <c r="G9" s="154">
        <v>525</v>
      </c>
      <c r="H9" s="119">
        <f t="shared" si="0"/>
        <v>4593.75</v>
      </c>
      <c r="I9"/>
    </row>
    <row r="10" spans="2:11" ht="18" x14ac:dyDescent="0.35">
      <c r="B10" s="140">
        <v>4</v>
      </c>
      <c r="C10" s="102" t="s">
        <v>66</v>
      </c>
      <c r="D10" s="10" t="s">
        <v>14</v>
      </c>
      <c r="E10" s="135" t="s">
        <v>143</v>
      </c>
      <c r="F10" s="143">
        <v>9</v>
      </c>
      <c r="G10" s="154">
        <v>440</v>
      </c>
      <c r="H10" s="119">
        <f t="shared" si="0"/>
        <v>3960</v>
      </c>
      <c r="I10"/>
      <c r="J10" s="75"/>
      <c r="K10" s="75"/>
    </row>
    <row r="11" spans="2:11" ht="18" x14ac:dyDescent="0.35">
      <c r="B11" s="140">
        <v>5</v>
      </c>
      <c r="C11" s="102" t="s">
        <v>91</v>
      </c>
      <c r="D11" s="10" t="s">
        <v>14</v>
      </c>
      <c r="E11" s="135" t="s">
        <v>143</v>
      </c>
      <c r="F11" s="143">
        <v>6.5</v>
      </c>
      <c r="G11" s="154">
        <v>470</v>
      </c>
      <c r="H11" s="119">
        <f t="shared" si="0"/>
        <v>3055</v>
      </c>
      <c r="I11"/>
      <c r="J11" s="75"/>
      <c r="K11" s="75"/>
    </row>
    <row r="12" spans="2:11" ht="18" x14ac:dyDescent="0.35">
      <c r="B12" s="140">
        <v>6</v>
      </c>
      <c r="C12" s="103" t="s">
        <v>105</v>
      </c>
      <c r="D12" s="10" t="s">
        <v>14</v>
      </c>
      <c r="E12" s="135" t="s">
        <v>143</v>
      </c>
      <c r="F12" s="143">
        <v>8.5</v>
      </c>
      <c r="G12" s="154">
        <v>495</v>
      </c>
      <c r="H12" s="119">
        <f t="shared" si="0"/>
        <v>4207.5</v>
      </c>
      <c r="I12"/>
      <c r="J12" s="75"/>
      <c r="K12" s="75"/>
    </row>
    <row r="13" spans="2:11" ht="18" x14ac:dyDescent="0.35">
      <c r="B13" s="140">
        <v>7</v>
      </c>
      <c r="C13" s="103" t="s">
        <v>124</v>
      </c>
      <c r="D13" s="10" t="s">
        <v>14</v>
      </c>
      <c r="E13" s="135" t="s">
        <v>143</v>
      </c>
      <c r="F13" s="143">
        <v>8.75</v>
      </c>
      <c r="G13" s="154">
        <v>460</v>
      </c>
      <c r="H13" s="119">
        <f t="shared" si="0"/>
        <v>4025</v>
      </c>
      <c r="I13"/>
      <c r="J13" s="75"/>
      <c r="K13" s="75"/>
    </row>
    <row r="14" spans="2:11" ht="18" x14ac:dyDescent="0.35">
      <c r="B14" s="140">
        <v>8</v>
      </c>
      <c r="C14" s="103" t="s">
        <v>110</v>
      </c>
      <c r="D14" s="10" t="s">
        <v>14</v>
      </c>
      <c r="E14" s="135" t="s">
        <v>143</v>
      </c>
      <c r="F14" s="143">
        <v>8.75</v>
      </c>
      <c r="G14" s="154">
        <v>470</v>
      </c>
      <c r="H14" s="119">
        <f t="shared" si="0"/>
        <v>4112.5</v>
      </c>
      <c r="I14"/>
      <c r="J14" s="75"/>
      <c r="K14" s="75"/>
    </row>
    <row r="15" spans="2:11" ht="18" x14ac:dyDescent="0.35">
      <c r="B15" s="140">
        <v>9</v>
      </c>
      <c r="C15" s="103" t="s">
        <v>118</v>
      </c>
      <c r="D15" s="141" t="s">
        <v>14</v>
      </c>
      <c r="E15" s="135" t="s">
        <v>143</v>
      </c>
      <c r="F15" s="143">
        <v>7.25</v>
      </c>
      <c r="G15" s="154">
        <v>470</v>
      </c>
      <c r="H15" s="119">
        <f t="shared" si="0"/>
        <v>3407.5</v>
      </c>
      <c r="I15"/>
      <c r="J15" s="75"/>
      <c r="K15" s="75"/>
    </row>
    <row r="16" spans="2:11" ht="18" x14ac:dyDescent="0.35">
      <c r="B16" s="140">
        <v>10</v>
      </c>
      <c r="C16" s="104" t="s">
        <v>109</v>
      </c>
      <c r="D16" s="141" t="s">
        <v>16</v>
      </c>
      <c r="E16" s="135" t="s">
        <v>143</v>
      </c>
      <c r="F16" s="143">
        <v>8.5</v>
      </c>
      <c r="G16" s="154">
        <v>390</v>
      </c>
      <c r="H16" s="119">
        <f t="shared" si="0"/>
        <v>3315</v>
      </c>
      <c r="I16"/>
      <c r="J16" s="75"/>
      <c r="K16" s="75"/>
    </row>
    <row r="17" spans="1:11" s="75" customFormat="1" ht="18" x14ac:dyDescent="0.35">
      <c r="A17"/>
      <c r="B17" s="140">
        <v>11</v>
      </c>
      <c r="C17" s="102" t="s">
        <v>17</v>
      </c>
      <c r="D17" s="10" t="s">
        <v>18</v>
      </c>
      <c r="E17" s="135" t="s">
        <v>143</v>
      </c>
      <c r="F17" s="143">
        <v>9</v>
      </c>
      <c r="G17" s="154">
        <v>610</v>
      </c>
      <c r="H17" s="119">
        <f t="shared" si="0"/>
        <v>5490</v>
      </c>
      <c r="I17" s="75" t="s">
        <v>92</v>
      </c>
    </row>
    <row r="18" spans="1:11" s="75" customFormat="1" ht="18" x14ac:dyDescent="0.35">
      <c r="A18"/>
      <c r="B18" s="140">
        <v>12</v>
      </c>
      <c r="C18" s="103" t="s">
        <v>93</v>
      </c>
      <c r="D18" s="141" t="s">
        <v>16</v>
      </c>
      <c r="E18" s="135" t="s">
        <v>143</v>
      </c>
      <c r="F18" s="143">
        <v>9</v>
      </c>
      <c r="G18" s="154">
        <v>430</v>
      </c>
      <c r="H18" s="119">
        <f t="shared" si="0"/>
        <v>3870</v>
      </c>
    </row>
    <row r="19" spans="1:11" s="75" customFormat="1" ht="18" x14ac:dyDescent="0.35">
      <c r="A19"/>
      <c r="B19" s="140">
        <v>13</v>
      </c>
      <c r="C19" s="104" t="s">
        <v>88</v>
      </c>
      <c r="D19" s="141" t="s">
        <v>15</v>
      </c>
      <c r="E19" s="135" t="s">
        <v>143</v>
      </c>
      <c r="F19" s="143">
        <v>6.5</v>
      </c>
      <c r="G19" s="154">
        <v>525</v>
      </c>
      <c r="H19" s="119">
        <f t="shared" si="0"/>
        <v>3412.5</v>
      </c>
    </row>
    <row r="20" spans="1:11" s="75" customFormat="1" ht="18" x14ac:dyDescent="0.35">
      <c r="A20"/>
      <c r="B20" s="140">
        <v>14</v>
      </c>
      <c r="C20" s="104" t="s">
        <v>125</v>
      </c>
      <c r="D20" s="141" t="s">
        <v>15</v>
      </c>
      <c r="E20" s="135" t="s">
        <v>143</v>
      </c>
      <c r="F20" s="143">
        <v>8.75</v>
      </c>
      <c r="G20" s="154">
        <v>500</v>
      </c>
      <c r="H20" s="119">
        <f t="shared" si="0"/>
        <v>4375</v>
      </c>
    </row>
    <row r="21" spans="1:11" s="75" customFormat="1" ht="18" x14ac:dyDescent="0.35">
      <c r="A21"/>
      <c r="B21" s="140">
        <v>15</v>
      </c>
      <c r="C21" s="103" t="s">
        <v>79</v>
      </c>
      <c r="D21" s="141" t="s">
        <v>65</v>
      </c>
      <c r="E21" s="135" t="s">
        <v>143</v>
      </c>
      <c r="F21" s="143">
        <v>8.75</v>
      </c>
      <c r="G21" s="154">
        <v>495</v>
      </c>
      <c r="H21" s="119">
        <f t="shared" si="0"/>
        <v>4331.25</v>
      </c>
    </row>
    <row r="22" spans="1:11" s="75" customFormat="1" ht="18" x14ac:dyDescent="0.35">
      <c r="A22"/>
      <c r="B22" s="140">
        <v>16</v>
      </c>
      <c r="C22" s="103" t="s">
        <v>161</v>
      </c>
      <c r="D22" s="141" t="s">
        <v>16</v>
      </c>
      <c r="E22" s="135" t="s">
        <v>143</v>
      </c>
      <c r="F22" s="143">
        <v>6</v>
      </c>
      <c r="G22" s="154">
        <v>410</v>
      </c>
      <c r="H22" s="119">
        <f t="shared" ref="H22" si="1">F22*G22</f>
        <v>2460</v>
      </c>
    </row>
    <row r="23" spans="1:11" s="118" customFormat="1" ht="18" x14ac:dyDescent="0.35">
      <c r="A23" s="117"/>
      <c r="B23" s="140">
        <v>17</v>
      </c>
      <c r="C23" s="104" t="s">
        <v>89</v>
      </c>
      <c r="D23" s="10" t="s">
        <v>18</v>
      </c>
      <c r="E23" s="135" t="s">
        <v>143</v>
      </c>
      <c r="F23" s="143">
        <v>9</v>
      </c>
      <c r="G23" s="154">
        <v>610</v>
      </c>
      <c r="H23" s="119">
        <f t="shared" si="0"/>
        <v>5490</v>
      </c>
      <c r="J23" s="75"/>
      <c r="K23" s="75"/>
    </row>
    <row r="24" spans="1:11" s="75" customFormat="1" ht="18" x14ac:dyDescent="0.35">
      <c r="A24"/>
      <c r="B24" s="140">
        <v>18</v>
      </c>
      <c r="C24" s="102" t="s">
        <v>73</v>
      </c>
      <c r="D24" s="10" t="s">
        <v>14</v>
      </c>
      <c r="E24" s="135" t="s">
        <v>143</v>
      </c>
      <c r="F24" s="143">
        <v>8.25</v>
      </c>
      <c r="G24" s="154">
        <v>470</v>
      </c>
      <c r="H24" s="119">
        <f t="shared" si="0"/>
        <v>3877.5</v>
      </c>
    </row>
    <row r="25" spans="1:11" s="75" customFormat="1" ht="18" x14ac:dyDescent="0.35">
      <c r="A25"/>
      <c r="B25" s="140">
        <v>19</v>
      </c>
      <c r="C25" s="103" t="s">
        <v>107</v>
      </c>
      <c r="D25" s="10" t="s">
        <v>14</v>
      </c>
      <c r="E25" s="135" t="s">
        <v>143</v>
      </c>
      <c r="F25" s="143">
        <v>8.75</v>
      </c>
      <c r="G25" s="154">
        <v>470</v>
      </c>
      <c r="H25" s="119">
        <f t="shared" si="0"/>
        <v>4112.5</v>
      </c>
    </row>
    <row r="26" spans="1:11" s="75" customFormat="1" ht="18" x14ac:dyDescent="0.35">
      <c r="A26"/>
      <c r="B26" s="140">
        <v>20</v>
      </c>
      <c r="C26" s="103" t="s">
        <v>106</v>
      </c>
      <c r="D26" s="10" t="s">
        <v>15</v>
      </c>
      <c r="E26" s="135" t="s">
        <v>143</v>
      </c>
      <c r="F26" s="143">
        <v>8.75</v>
      </c>
      <c r="G26" s="154">
        <v>500</v>
      </c>
      <c r="H26" s="119">
        <f t="shared" si="0"/>
        <v>4375</v>
      </c>
    </row>
    <row r="27" spans="1:11" s="75" customFormat="1" ht="18" x14ac:dyDescent="0.35">
      <c r="A27"/>
      <c r="B27" s="140">
        <v>21</v>
      </c>
      <c r="C27" s="103" t="s">
        <v>101</v>
      </c>
      <c r="D27" s="142" t="s">
        <v>15</v>
      </c>
      <c r="E27" s="135" t="s">
        <v>143</v>
      </c>
      <c r="F27" s="143">
        <v>8.75</v>
      </c>
      <c r="G27" s="154">
        <v>505</v>
      </c>
      <c r="H27" s="119">
        <f t="shared" si="0"/>
        <v>4418.75</v>
      </c>
    </row>
    <row r="28" spans="1:11" s="75" customFormat="1" ht="18" x14ac:dyDescent="0.35">
      <c r="A28"/>
      <c r="B28" s="140">
        <v>22</v>
      </c>
      <c r="C28" s="103" t="s">
        <v>131</v>
      </c>
      <c r="D28" s="142" t="s">
        <v>15</v>
      </c>
      <c r="E28" s="135" t="s">
        <v>143</v>
      </c>
      <c r="F28" s="143">
        <v>8.75</v>
      </c>
      <c r="G28" s="154">
        <v>500</v>
      </c>
      <c r="H28" s="119">
        <f t="shared" si="0"/>
        <v>4375</v>
      </c>
    </row>
    <row r="29" spans="1:11" s="75" customFormat="1" ht="18" x14ac:dyDescent="0.35">
      <c r="A29"/>
      <c r="B29" s="140">
        <v>23</v>
      </c>
      <c r="C29" s="104" t="s">
        <v>87</v>
      </c>
      <c r="D29" s="141" t="s">
        <v>15</v>
      </c>
      <c r="E29" s="135" t="s">
        <v>143</v>
      </c>
      <c r="F29" s="143">
        <v>8.75</v>
      </c>
      <c r="G29" s="154">
        <v>550</v>
      </c>
      <c r="H29" s="119">
        <f t="shared" si="0"/>
        <v>4812.5</v>
      </c>
    </row>
    <row r="30" spans="1:11" s="75" customFormat="1" ht="18" x14ac:dyDescent="0.35">
      <c r="A30"/>
      <c r="B30" s="140">
        <v>24</v>
      </c>
      <c r="C30" s="101" t="s">
        <v>75</v>
      </c>
      <c r="D30" s="134" t="s">
        <v>14</v>
      </c>
      <c r="E30" s="135" t="s">
        <v>143</v>
      </c>
      <c r="F30" s="143">
        <v>8.5</v>
      </c>
      <c r="G30" s="154">
        <v>480</v>
      </c>
      <c r="H30" s="119">
        <f t="shared" si="0"/>
        <v>4080</v>
      </c>
    </row>
    <row r="31" spans="1:11" s="75" customFormat="1" ht="18" x14ac:dyDescent="0.35">
      <c r="A31"/>
      <c r="B31" s="140">
        <v>25</v>
      </c>
      <c r="C31" s="101" t="s">
        <v>114</v>
      </c>
      <c r="D31" s="134" t="s">
        <v>16</v>
      </c>
      <c r="E31" s="135" t="s">
        <v>143</v>
      </c>
      <c r="F31" s="143">
        <v>9</v>
      </c>
      <c r="G31" s="154">
        <v>370</v>
      </c>
      <c r="H31" s="119">
        <f t="shared" si="0"/>
        <v>3330</v>
      </c>
    </row>
    <row r="32" spans="1:11" s="75" customFormat="1" ht="18" x14ac:dyDescent="0.35">
      <c r="A32"/>
      <c r="B32" s="140">
        <v>26</v>
      </c>
      <c r="C32" s="105" t="s">
        <v>119</v>
      </c>
      <c r="D32" s="134" t="s">
        <v>16</v>
      </c>
      <c r="E32" s="135" t="s">
        <v>143</v>
      </c>
      <c r="F32" s="143">
        <v>9</v>
      </c>
      <c r="G32" s="154">
        <v>370</v>
      </c>
      <c r="H32" s="119">
        <f t="shared" si="0"/>
        <v>3330</v>
      </c>
    </row>
    <row r="33" spans="1:11" s="75" customFormat="1" ht="18" x14ac:dyDescent="0.35">
      <c r="A33"/>
      <c r="B33" s="140">
        <v>27</v>
      </c>
      <c r="C33" s="105" t="s">
        <v>115</v>
      </c>
      <c r="D33" s="134" t="s">
        <v>14</v>
      </c>
      <c r="E33" s="135" t="s">
        <v>143</v>
      </c>
      <c r="F33" s="143">
        <v>9</v>
      </c>
      <c r="G33" s="154">
        <v>410</v>
      </c>
      <c r="H33" s="119">
        <f t="shared" si="0"/>
        <v>3690</v>
      </c>
    </row>
    <row r="34" spans="1:11" s="75" customFormat="1" ht="18" x14ac:dyDescent="0.35">
      <c r="A34"/>
      <c r="B34" s="140">
        <v>28</v>
      </c>
      <c r="C34" s="105" t="s">
        <v>132</v>
      </c>
      <c r="D34" s="134" t="s">
        <v>16</v>
      </c>
      <c r="E34" s="135" t="s">
        <v>143</v>
      </c>
      <c r="F34" s="143">
        <v>6</v>
      </c>
      <c r="G34" s="154">
        <v>360</v>
      </c>
      <c r="H34" s="119">
        <f t="shared" si="0"/>
        <v>2160</v>
      </c>
    </row>
    <row r="35" spans="1:11" s="75" customFormat="1" ht="18" x14ac:dyDescent="0.35">
      <c r="A35"/>
      <c r="B35" s="140">
        <v>29</v>
      </c>
      <c r="C35" s="104" t="s">
        <v>139</v>
      </c>
      <c r="D35" s="141" t="s">
        <v>16</v>
      </c>
      <c r="E35" s="135" t="s">
        <v>143</v>
      </c>
      <c r="F35" s="143">
        <v>9</v>
      </c>
      <c r="G35" s="154">
        <v>420</v>
      </c>
      <c r="H35" s="119">
        <f t="shared" si="0"/>
        <v>3780</v>
      </c>
    </row>
    <row r="36" spans="1:11" s="75" customFormat="1" ht="18" x14ac:dyDescent="0.35">
      <c r="A36"/>
      <c r="B36" s="140">
        <v>30</v>
      </c>
      <c r="C36" s="104" t="s">
        <v>133</v>
      </c>
      <c r="D36" s="134" t="s">
        <v>16</v>
      </c>
      <c r="E36" s="135" t="s">
        <v>143</v>
      </c>
      <c r="F36" s="143">
        <v>9</v>
      </c>
      <c r="G36" s="154">
        <v>360</v>
      </c>
      <c r="H36" s="119">
        <f t="shared" si="0"/>
        <v>3240</v>
      </c>
    </row>
    <row r="37" spans="1:11" s="75" customFormat="1" ht="18" x14ac:dyDescent="0.35">
      <c r="A37"/>
      <c r="B37" s="140">
        <v>31</v>
      </c>
      <c r="C37" s="102" t="s">
        <v>86</v>
      </c>
      <c r="D37" s="10" t="s">
        <v>14</v>
      </c>
      <c r="E37" s="135" t="s">
        <v>143</v>
      </c>
      <c r="F37" s="143">
        <v>6.5</v>
      </c>
      <c r="G37" s="154">
        <v>440</v>
      </c>
      <c r="H37" s="119">
        <f t="shared" si="0"/>
        <v>2860</v>
      </c>
      <c r="J37"/>
      <c r="K37"/>
    </row>
    <row r="38" spans="1:11" s="75" customFormat="1" ht="18" x14ac:dyDescent="0.35">
      <c r="A38"/>
      <c r="B38" s="140">
        <v>32</v>
      </c>
      <c r="C38" s="104" t="s">
        <v>162</v>
      </c>
      <c r="D38" s="134" t="s">
        <v>49</v>
      </c>
      <c r="E38" s="135" t="s">
        <v>143</v>
      </c>
      <c r="F38" s="143">
        <v>6</v>
      </c>
      <c r="G38" s="154">
        <v>320</v>
      </c>
      <c r="H38" s="119">
        <f t="shared" ref="H38" si="2">F38*G38</f>
        <v>1920</v>
      </c>
    </row>
    <row r="39" spans="1:11" s="75" customFormat="1" ht="18" x14ac:dyDescent="0.35">
      <c r="A39"/>
      <c r="B39" s="140">
        <v>33</v>
      </c>
      <c r="C39" s="104" t="s">
        <v>104</v>
      </c>
      <c r="D39" s="134" t="s">
        <v>49</v>
      </c>
      <c r="E39" s="135" t="s">
        <v>143</v>
      </c>
      <c r="F39" s="143">
        <v>8.75</v>
      </c>
      <c r="G39" s="154">
        <v>320</v>
      </c>
      <c r="H39" s="119">
        <f t="shared" si="0"/>
        <v>2800</v>
      </c>
    </row>
    <row r="40" spans="1:11" s="75" customFormat="1" ht="18" x14ac:dyDescent="0.35">
      <c r="A40"/>
      <c r="B40" s="140">
        <v>34</v>
      </c>
      <c r="C40" s="103" t="s">
        <v>117</v>
      </c>
      <c r="D40" s="134" t="s">
        <v>49</v>
      </c>
      <c r="E40" s="135" t="s">
        <v>143</v>
      </c>
      <c r="F40" s="143">
        <v>7.5</v>
      </c>
      <c r="G40" s="154">
        <v>310</v>
      </c>
      <c r="H40" s="119">
        <f t="shared" si="0"/>
        <v>2325</v>
      </c>
      <c r="J40"/>
      <c r="K40"/>
    </row>
    <row r="41" spans="1:11" s="75" customFormat="1" ht="18" x14ac:dyDescent="0.35">
      <c r="A41"/>
      <c r="B41" s="140">
        <v>35</v>
      </c>
      <c r="C41" s="104" t="s">
        <v>116</v>
      </c>
      <c r="D41" s="134" t="s">
        <v>49</v>
      </c>
      <c r="E41" s="135" t="s">
        <v>143</v>
      </c>
      <c r="F41" s="143">
        <v>9</v>
      </c>
      <c r="G41" s="154">
        <v>310</v>
      </c>
      <c r="H41" s="119">
        <f t="shared" si="0"/>
        <v>2790</v>
      </c>
    </row>
    <row r="42" spans="1:11" ht="18.600000000000001" thickBot="1" x14ac:dyDescent="0.4">
      <c r="B42" s="98"/>
      <c r="C42" s="102" t="s">
        <v>67</v>
      </c>
      <c r="D42" s="10"/>
      <c r="E42" s="136"/>
      <c r="F42" s="136">
        <f>SUM(F7:F16)+SUM(F18:F41)</f>
        <v>279.75</v>
      </c>
      <c r="G42" s="155">
        <v>10</v>
      </c>
      <c r="H42" s="119">
        <f t="shared" si="0"/>
        <v>2797.5</v>
      </c>
      <c r="I42"/>
    </row>
    <row r="43" spans="1:11" ht="24" thickBot="1" x14ac:dyDescent="0.5">
      <c r="B43" s="99"/>
      <c r="C43" s="106"/>
      <c r="D43" s="137"/>
      <c r="E43" s="138" t="s">
        <v>4</v>
      </c>
      <c r="F43" s="138"/>
      <c r="G43" s="157"/>
      <c r="H43" s="72">
        <f>SUM(H7:H42)</f>
        <v>132253.75</v>
      </c>
      <c r="I43"/>
    </row>
    <row r="44" spans="1:11" ht="21.6" thickBot="1" x14ac:dyDescent="0.45">
      <c r="B44" s="73"/>
      <c r="C44" s="5"/>
      <c r="D44" s="5"/>
      <c r="E44" s="80"/>
      <c r="F44" s="14"/>
      <c r="G44" s="80"/>
      <c r="H44" s="81"/>
      <c r="I44" s="81"/>
    </row>
    <row r="45" spans="1:11" ht="29.4" customHeight="1" thickBot="1" x14ac:dyDescent="0.5">
      <c r="B45" s="204" t="s">
        <v>163</v>
      </c>
      <c r="C45" s="205"/>
      <c r="D45" s="205"/>
      <c r="E45" s="205"/>
      <c r="F45" s="205"/>
      <c r="G45" s="205"/>
      <c r="H45" s="206"/>
      <c r="I45" s="81"/>
      <c r="J45" s="73"/>
    </row>
    <row r="46" spans="1:11" ht="26.25" customHeight="1" thickBot="1" x14ac:dyDescent="0.45">
      <c r="B46" s="197" t="s">
        <v>72</v>
      </c>
      <c r="C46" s="198"/>
      <c r="D46" s="198"/>
      <c r="E46" s="198"/>
      <c r="F46" s="198"/>
      <c r="G46" s="198"/>
      <c r="H46" s="199"/>
      <c r="I46" s="81"/>
      <c r="J46" s="73"/>
    </row>
    <row r="47" spans="1:11" ht="26.25" customHeight="1" thickBot="1" x14ac:dyDescent="0.45">
      <c r="B47" s="70" t="s">
        <v>31</v>
      </c>
      <c r="C47" s="144" t="s">
        <v>0</v>
      </c>
      <c r="D47" s="145"/>
      <c r="E47" s="90" t="s">
        <v>1</v>
      </c>
      <c r="F47" s="74" t="s">
        <v>13</v>
      </c>
      <c r="G47" s="158"/>
      <c r="H47" s="9" t="s">
        <v>2</v>
      </c>
      <c r="I47"/>
    </row>
    <row r="48" spans="1:11" ht="18" x14ac:dyDescent="0.35">
      <c r="B48" s="71">
        <v>1</v>
      </c>
      <c r="C48" s="12" t="s">
        <v>58</v>
      </c>
      <c r="D48" s="120" t="s">
        <v>78</v>
      </c>
      <c r="E48" s="135" t="s">
        <v>143</v>
      </c>
      <c r="F48" s="10">
        <v>8.75</v>
      </c>
      <c r="G48" s="185">
        <v>370</v>
      </c>
      <c r="H48" s="119">
        <f>F48*G48</f>
        <v>3237.5</v>
      </c>
      <c r="I48"/>
    </row>
    <row r="49" spans="2:10" ht="18" x14ac:dyDescent="0.35">
      <c r="B49" s="71">
        <v>2</v>
      </c>
      <c r="C49" s="12" t="s">
        <v>64</v>
      </c>
      <c r="D49" s="10" t="s">
        <v>78</v>
      </c>
      <c r="E49" s="135" t="s">
        <v>143</v>
      </c>
      <c r="F49" s="10">
        <v>4.25</v>
      </c>
      <c r="G49" s="136">
        <v>410</v>
      </c>
      <c r="H49" s="119">
        <f t="shared" ref="H49:H53" si="3">F49*G49</f>
        <v>1742.5</v>
      </c>
      <c r="I49"/>
    </row>
    <row r="50" spans="2:10" s="1" customFormat="1" ht="21" x14ac:dyDescent="0.4">
      <c r="B50" s="71">
        <v>3</v>
      </c>
      <c r="C50" s="12" t="s">
        <v>123</v>
      </c>
      <c r="D50" s="141" t="s">
        <v>15</v>
      </c>
      <c r="E50" s="135" t="s">
        <v>143</v>
      </c>
      <c r="F50" s="10">
        <v>8.5</v>
      </c>
      <c r="G50" s="136">
        <v>490</v>
      </c>
      <c r="H50" s="119">
        <f>F50*G50</f>
        <v>4165</v>
      </c>
    </row>
    <row r="51" spans="2:10" ht="18" x14ac:dyDescent="0.35">
      <c r="B51" s="71">
        <v>4</v>
      </c>
      <c r="C51" s="12" t="s">
        <v>94</v>
      </c>
      <c r="D51" s="10" t="s">
        <v>49</v>
      </c>
      <c r="E51" s="135" t="s">
        <v>143</v>
      </c>
      <c r="F51" s="10">
        <v>8.75</v>
      </c>
      <c r="G51" s="136">
        <v>360</v>
      </c>
      <c r="H51" s="119">
        <f t="shared" si="3"/>
        <v>3150</v>
      </c>
      <c r="I51"/>
    </row>
    <row r="52" spans="2:10" ht="18" x14ac:dyDescent="0.35">
      <c r="B52" s="71">
        <v>5</v>
      </c>
      <c r="C52" s="12" t="s">
        <v>148</v>
      </c>
      <c r="D52" s="10" t="s">
        <v>49</v>
      </c>
      <c r="E52" s="135" t="s">
        <v>143</v>
      </c>
      <c r="F52" s="10">
        <v>2.5</v>
      </c>
      <c r="G52" s="136">
        <v>310</v>
      </c>
      <c r="H52" s="119">
        <f t="shared" ref="H52" si="4">F52*G52</f>
        <v>775</v>
      </c>
      <c r="I52"/>
    </row>
    <row r="53" spans="2:10" ht="18" x14ac:dyDescent="0.35">
      <c r="B53" s="71">
        <v>6</v>
      </c>
      <c r="C53" s="12" t="s">
        <v>85</v>
      </c>
      <c r="D53" s="10" t="s">
        <v>49</v>
      </c>
      <c r="E53" s="135" t="s">
        <v>143</v>
      </c>
      <c r="F53" s="10">
        <v>8.75</v>
      </c>
      <c r="G53" s="136">
        <v>310</v>
      </c>
      <c r="H53" s="119">
        <f t="shared" si="3"/>
        <v>2712.5</v>
      </c>
      <c r="I53"/>
    </row>
    <row r="54" spans="2:10" ht="21.6" thickBot="1" x14ac:dyDescent="0.45">
      <c r="B54" s="71"/>
      <c r="C54" s="107"/>
      <c r="D54" s="139"/>
      <c r="E54" s="263"/>
      <c r="F54" s="264"/>
      <c r="G54" s="159"/>
      <c r="H54" s="122">
        <f>SUM(H48:H53)</f>
        <v>15782.5</v>
      </c>
      <c r="I54"/>
      <c r="J54" s="111"/>
    </row>
    <row r="56" spans="2:10" ht="21" x14ac:dyDescent="0.4">
      <c r="B56" s="73"/>
      <c r="C56" s="108"/>
      <c r="D56" s="152"/>
      <c r="E56" s="80"/>
      <c r="F56" s="80"/>
      <c r="G56" s="80"/>
      <c r="H56" s="81"/>
      <c r="I56" s="81"/>
    </row>
    <row r="57" spans="2:10" ht="18" x14ac:dyDescent="0.35">
      <c r="C57" s="129"/>
      <c r="D57" s="129"/>
      <c r="E57" s="14"/>
      <c r="F57" s="14"/>
      <c r="G57" s="14"/>
      <c r="H57" s="130"/>
    </row>
    <row r="59" spans="2:10" ht="18" x14ac:dyDescent="0.35">
      <c r="B59" s="71">
        <v>3</v>
      </c>
      <c r="C59" s="131" t="s">
        <v>97</v>
      </c>
      <c r="D59" s="10" t="s">
        <v>14</v>
      </c>
      <c r="E59" s="135" t="s">
        <v>143</v>
      </c>
      <c r="F59" s="10">
        <v>7.5</v>
      </c>
      <c r="G59" s="156">
        <v>460</v>
      </c>
      <c r="H59" s="119">
        <f t="shared" ref="H59:H64" si="5">F59*G59</f>
        <v>3450</v>
      </c>
      <c r="I59"/>
    </row>
    <row r="60" spans="2:10" ht="18" x14ac:dyDescent="0.35">
      <c r="B60" s="71">
        <v>4</v>
      </c>
      <c r="C60" s="131" t="s">
        <v>95</v>
      </c>
      <c r="D60" s="131" t="s">
        <v>15</v>
      </c>
      <c r="E60" s="135" t="s">
        <v>143</v>
      </c>
      <c r="F60" s="10">
        <v>7.5</v>
      </c>
      <c r="G60" s="156">
        <v>485</v>
      </c>
      <c r="H60" s="119">
        <f t="shared" si="5"/>
        <v>3637.5</v>
      </c>
      <c r="I60"/>
    </row>
    <row r="61" spans="2:10" ht="18" x14ac:dyDescent="0.35">
      <c r="B61" s="71">
        <v>5</v>
      </c>
      <c r="C61" s="131" t="s">
        <v>98</v>
      </c>
      <c r="D61" s="10" t="s">
        <v>14</v>
      </c>
      <c r="E61" s="135" t="s">
        <v>143</v>
      </c>
      <c r="F61" s="10">
        <v>7.25</v>
      </c>
      <c r="G61" s="156">
        <v>485</v>
      </c>
      <c r="H61" s="119">
        <f t="shared" si="5"/>
        <v>3516.25</v>
      </c>
      <c r="I61"/>
    </row>
    <row r="62" spans="2:10" ht="18" x14ac:dyDescent="0.35">
      <c r="B62" s="71">
        <v>6</v>
      </c>
      <c r="C62" s="131" t="s">
        <v>96</v>
      </c>
      <c r="D62" s="10" t="s">
        <v>14</v>
      </c>
      <c r="E62" s="135" t="s">
        <v>143</v>
      </c>
      <c r="F62" s="10">
        <v>7.25</v>
      </c>
      <c r="G62" s="156">
        <v>460</v>
      </c>
      <c r="H62" s="119">
        <f t="shared" si="5"/>
        <v>3335</v>
      </c>
      <c r="I62"/>
    </row>
    <row r="63" spans="2:10" ht="18" x14ac:dyDescent="0.35">
      <c r="B63" s="71">
        <v>7</v>
      </c>
      <c r="C63" s="131" t="s">
        <v>100</v>
      </c>
      <c r="D63" s="10" t="s">
        <v>14</v>
      </c>
      <c r="E63" s="135" t="s">
        <v>143</v>
      </c>
      <c r="F63" s="10">
        <v>7.5</v>
      </c>
      <c r="G63" s="156">
        <v>450</v>
      </c>
      <c r="H63" s="119">
        <f t="shared" si="5"/>
        <v>3375</v>
      </c>
      <c r="I63"/>
    </row>
    <row r="64" spans="2:10" ht="18" x14ac:dyDescent="0.35">
      <c r="B64" s="71">
        <v>8</v>
      </c>
      <c r="C64" s="131" t="s">
        <v>99</v>
      </c>
      <c r="D64" s="10" t="s">
        <v>14</v>
      </c>
      <c r="E64" s="135" t="s">
        <v>143</v>
      </c>
      <c r="F64" s="10">
        <v>7.5</v>
      </c>
      <c r="G64" s="156">
        <v>450</v>
      </c>
      <c r="H64" s="119">
        <f t="shared" si="5"/>
        <v>3375</v>
      </c>
      <c r="I64"/>
    </row>
    <row r="65" spans="8:8" x14ac:dyDescent="0.3">
      <c r="H65" s="153">
        <f>SUM(H59:H64)</f>
        <v>20688.75</v>
      </c>
    </row>
  </sheetData>
  <mergeCells count="8">
    <mergeCell ref="B46:H46"/>
    <mergeCell ref="E54:F54"/>
    <mergeCell ref="B1:I1"/>
    <mergeCell ref="B2:I2"/>
    <mergeCell ref="B3:I3"/>
    <mergeCell ref="B4:H4"/>
    <mergeCell ref="B5:H5"/>
    <mergeCell ref="B45:H45"/>
  </mergeCells>
  <pageMargins left="0.7" right="0.7" top="0.75" bottom="0.75" header="0.3" footer="0.3"/>
  <pageSetup paperSize="9" scale="5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B52E-F2DF-4421-A8FE-C1B906E54F42}">
  <sheetPr>
    <pageSetUpPr fitToPage="1"/>
  </sheetPr>
  <dimension ref="A1:K65"/>
  <sheetViews>
    <sheetView topLeftCell="B5" zoomScaleNormal="100" workbookViewId="0">
      <selection activeCell="K8" sqref="K8"/>
    </sheetView>
  </sheetViews>
  <sheetFormatPr defaultRowHeight="14.4" x14ac:dyDescent="0.3"/>
  <cols>
    <col min="1" max="1" width="15.33203125" customWidth="1"/>
    <col min="2" max="2" width="8.5546875" customWidth="1"/>
    <col min="3" max="3" width="33.6640625" style="58" customWidth="1"/>
    <col min="4" max="4" width="22.6640625" style="58" customWidth="1"/>
    <col min="5" max="5" width="23.44140625" style="75" bestFit="1" customWidth="1"/>
    <col min="6" max="6" width="11.6640625" style="75" customWidth="1"/>
    <col min="7" max="7" width="9.88671875" style="75" customWidth="1"/>
    <col min="8" max="8" width="14.44140625" style="153" customWidth="1"/>
    <col min="9" max="9" width="16" style="153" customWidth="1"/>
    <col min="10" max="10" width="12.21875" customWidth="1"/>
    <col min="11" max="11" width="15.6640625" customWidth="1"/>
  </cols>
  <sheetData>
    <row r="1" spans="2:11" ht="25.2" x14ac:dyDescent="0.45">
      <c r="B1" s="265" t="s">
        <v>55</v>
      </c>
      <c r="C1" s="265"/>
      <c r="D1" s="265"/>
      <c r="E1" s="265"/>
      <c r="F1" s="265"/>
      <c r="G1" s="265"/>
      <c r="H1" s="265"/>
      <c r="I1" s="265"/>
      <c r="J1" s="151"/>
    </row>
    <row r="2" spans="2:11" ht="26.25" customHeight="1" x14ac:dyDescent="0.45">
      <c r="B2" s="265" t="s">
        <v>56</v>
      </c>
      <c r="C2" s="265"/>
      <c r="D2" s="265"/>
      <c r="E2" s="265"/>
      <c r="F2" s="265"/>
      <c r="G2" s="265"/>
      <c r="H2" s="265"/>
      <c r="I2" s="265"/>
      <c r="J2" s="151"/>
    </row>
    <row r="3" spans="2:11" ht="24.75" customHeight="1" thickBot="1" x14ac:dyDescent="0.5">
      <c r="B3" s="266" t="s">
        <v>57</v>
      </c>
      <c r="C3" s="266"/>
      <c r="D3" s="266"/>
      <c r="E3" s="266"/>
      <c r="F3" s="266"/>
      <c r="G3" s="266"/>
      <c r="H3" s="266"/>
      <c r="I3" s="266"/>
    </row>
    <row r="4" spans="2:11" ht="25.8" thickBot="1" x14ac:dyDescent="0.5">
      <c r="B4" s="204" t="s">
        <v>163</v>
      </c>
      <c r="C4" s="205"/>
      <c r="D4" s="205"/>
      <c r="E4" s="205"/>
      <c r="F4" s="205"/>
      <c r="G4" s="205"/>
      <c r="H4" s="206"/>
      <c r="I4"/>
    </row>
    <row r="5" spans="2:11" ht="31.5" customHeight="1" thickBot="1" x14ac:dyDescent="0.35">
      <c r="B5" s="197" t="s">
        <v>69</v>
      </c>
      <c r="C5" s="198"/>
      <c r="D5" s="198"/>
      <c r="E5" s="198"/>
      <c r="F5" s="198"/>
      <c r="G5" s="198"/>
      <c r="H5" s="199"/>
      <c r="I5"/>
    </row>
    <row r="6" spans="2:11" ht="31.8" customHeight="1" thickBot="1" x14ac:dyDescent="0.45">
      <c r="B6" s="97" t="s">
        <v>31</v>
      </c>
      <c r="C6" s="100" t="s">
        <v>0</v>
      </c>
      <c r="D6" s="132"/>
      <c r="E6" s="133" t="s">
        <v>1</v>
      </c>
      <c r="F6" s="94" t="s">
        <v>13</v>
      </c>
      <c r="G6" s="184"/>
      <c r="H6" s="27" t="s">
        <v>2</v>
      </c>
      <c r="I6"/>
    </row>
    <row r="7" spans="2:11" ht="18" x14ac:dyDescent="0.35">
      <c r="B7" s="140">
        <v>1</v>
      </c>
      <c r="C7" s="104" t="s">
        <v>102</v>
      </c>
      <c r="D7" s="10" t="s">
        <v>14</v>
      </c>
      <c r="E7" s="135" t="s">
        <v>143</v>
      </c>
      <c r="F7" s="143">
        <v>8.75</v>
      </c>
      <c r="G7" s="154">
        <v>410</v>
      </c>
      <c r="H7" s="119">
        <f>F7*G7</f>
        <v>3587.5</v>
      </c>
      <c r="I7"/>
    </row>
    <row r="8" spans="2:11" ht="18" x14ac:dyDescent="0.35">
      <c r="B8" s="140">
        <v>2</v>
      </c>
      <c r="C8" s="104" t="s">
        <v>77</v>
      </c>
      <c r="D8" s="10" t="s">
        <v>14</v>
      </c>
      <c r="E8" s="135" t="s">
        <v>143</v>
      </c>
      <c r="F8" s="143">
        <v>7.75</v>
      </c>
      <c r="G8" s="154">
        <v>450</v>
      </c>
      <c r="H8" s="119">
        <f t="shared" ref="H8:H42" si="0">F8*G8</f>
        <v>3487.5</v>
      </c>
      <c r="I8"/>
    </row>
    <row r="9" spans="2:11" ht="18" x14ac:dyDescent="0.35">
      <c r="B9" s="140">
        <v>3</v>
      </c>
      <c r="C9" s="104" t="s">
        <v>138</v>
      </c>
      <c r="D9" s="142" t="s">
        <v>15</v>
      </c>
      <c r="E9" s="135" t="s">
        <v>143</v>
      </c>
      <c r="F9" s="143">
        <v>8.75</v>
      </c>
      <c r="G9" s="154">
        <v>525</v>
      </c>
      <c r="H9" s="119">
        <f t="shared" si="0"/>
        <v>4593.75</v>
      </c>
      <c r="I9"/>
    </row>
    <row r="10" spans="2:11" ht="18" x14ac:dyDescent="0.35">
      <c r="B10" s="140">
        <v>4</v>
      </c>
      <c r="C10" s="102" t="s">
        <v>66</v>
      </c>
      <c r="D10" s="10" t="s">
        <v>14</v>
      </c>
      <c r="E10" s="135" t="s">
        <v>143</v>
      </c>
      <c r="F10" s="143">
        <v>9</v>
      </c>
      <c r="G10" s="154">
        <v>440</v>
      </c>
      <c r="H10" s="119">
        <f t="shared" si="0"/>
        <v>3960</v>
      </c>
      <c r="I10"/>
      <c r="J10" s="75"/>
      <c r="K10" s="75"/>
    </row>
    <row r="11" spans="2:11" ht="18" x14ac:dyDescent="0.35">
      <c r="B11" s="140">
        <v>5</v>
      </c>
      <c r="C11" s="102" t="s">
        <v>91</v>
      </c>
      <c r="D11" s="10" t="s">
        <v>14</v>
      </c>
      <c r="E11" s="135" t="s">
        <v>143</v>
      </c>
      <c r="F11" s="143">
        <v>3</v>
      </c>
      <c r="G11" s="154">
        <v>470</v>
      </c>
      <c r="H11" s="119">
        <f t="shared" si="0"/>
        <v>1410</v>
      </c>
      <c r="I11"/>
      <c r="J11" s="75"/>
      <c r="K11" s="75"/>
    </row>
    <row r="12" spans="2:11" ht="18" x14ac:dyDescent="0.35">
      <c r="B12" s="140">
        <v>6</v>
      </c>
      <c r="C12" s="103" t="s">
        <v>105</v>
      </c>
      <c r="D12" s="10" t="s">
        <v>14</v>
      </c>
      <c r="E12" s="135" t="s">
        <v>143</v>
      </c>
      <c r="F12" s="143">
        <v>8.5</v>
      </c>
      <c r="G12" s="154">
        <v>495</v>
      </c>
      <c r="H12" s="119">
        <f t="shared" si="0"/>
        <v>4207.5</v>
      </c>
      <c r="I12"/>
      <c r="J12" s="75"/>
      <c r="K12" s="75"/>
    </row>
    <row r="13" spans="2:11" ht="18" x14ac:dyDescent="0.35">
      <c r="B13" s="140">
        <v>7</v>
      </c>
      <c r="C13" s="103" t="s">
        <v>124</v>
      </c>
      <c r="D13" s="10" t="s">
        <v>14</v>
      </c>
      <c r="E13" s="135" t="s">
        <v>143</v>
      </c>
      <c r="F13" s="143">
        <v>8.75</v>
      </c>
      <c r="G13" s="154">
        <v>460</v>
      </c>
      <c r="H13" s="119">
        <f t="shared" si="0"/>
        <v>4025</v>
      </c>
      <c r="I13"/>
      <c r="J13" s="75"/>
      <c r="K13" s="75"/>
    </row>
    <row r="14" spans="2:11" ht="18" x14ac:dyDescent="0.35">
      <c r="B14" s="140">
        <v>8</v>
      </c>
      <c r="C14" s="103" t="s">
        <v>110</v>
      </c>
      <c r="D14" s="10" t="s">
        <v>14</v>
      </c>
      <c r="E14" s="135" t="s">
        <v>143</v>
      </c>
      <c r="F14" s="143">
        <v>8.75</v>
      </c>
      <c r="G14" s="154">
        <v>470</v>
      </c>
      <c r="H14" s="119">
        <f t="shared" si="0"/>
        <v>4112.5</v>
      </c>
      <c r="I14"/>
      <c r="J14" s="75"/>
      <c r="K14" s="75"/>
    </row>
    <row r="15" spans="2:11" ht="18" x14ac:dyDescent="0.35">
      <c r="B15" s="140">
        <v>9</v>
      </c>
      <c r="C15" s="103" t="s">
        <v>118</v>
      </c>
      <c r="D15" s="141" t="s">
        <v>14</v>
      </c>
      <c r="E15" s="135" t="s">
        <v>143</v>
      </c>
      <c r="F15" s="143">
        <v>7.25</v>
      </c>
      <c r="G15" s="154">
        <v>470</v>
      </c>
      <c r="H15" s="119">
        <f t="shared" si="0"/>
        <v>3407.5</v>
      </c>
      <c r="I15"/>
      <c r="J15" s="75"/>
      <c r="K15" s="75"/>
    </row>
    <row r="16" spans="2:11" ht="18" x14ac:dyDescent="0.35">
      <c r="B16" s="140">
        <v>10</v>
      </c>
      <c r="C16" s="104" t="s">
        <v>109</v>
      </c>
      <c r="D16" s="141" t="s">
        <v>16</v>
      </c>
      <c r="E16" s="135" t="s">
        <v>143</v>
      </c>
      <c r="F16" s="143">
        <v>8.5</v>
      </c>
      <c r="G16" s="154">
        <v>390</v>
      </c>
      <c r="H16" s="119">
        <f t="shared" si="0"/>
        <v>3315</v>
      </c>
      <c r="I16"/>
      <c r="J16" s="75"/>
      <c r="K16" s="75"/>
    </row>
    <row r="17" spans="1:11" s="75" customFormat="1" ht="18" x14ac:dyDescent="0.35">
      <c r="A17"/>
      <c r="B17" s="140">
        <v>11</v>
      </c>
      <c r="C17" s="102" t="s">
        <v>17</v>
      </c>
      <c r="D17" s="10" t="s">
        <v>18</v>
      </c>
      <c r="E17" s="135" t="s">
        <v>143</v>
      </c>
      <c r="F17" s="143">
        <v>9</v>
      </c>
      <c r="G17" s="154">
        <v>610</v>
      </c>
      <c r="H17" s="119">
        <f t="shared" si="0"/>
        <v>5490</v>
      </c>
      <c r="I17" s="75" t="s">
        <v>92</v>
      </c>
    </row>
    <row r="18" spans="1:11" s="75" customFormat="1" ht="18" x14ac:dyDescent="0.35">
      <c r="A18"/>
      <c r="B18" s="140">
        <v>12</v>
      </c>
      <c r="C18" s="103" t="s">
        <v>93</v>
      </c>
      <c r="D18" s="141" t="s">
        <v>16</v>
      </c>
      <c r="E18" s="135" t="s">
        <v>143</v>
      </c>
      <c r="F18" s="143">
        <v>9</v>
      </c>
      <c r="G18" s="154">
        <v>430</v>
      </c>
      <c r="H18" s="119">
        <f t="shared" si="0"/>
        <v>3870</v>
      </c>
    </row>
    <row r="19" spans="1:11" s="75" customFormat="1" ht="18" x14ac:dyDescent="0.35">
      <c r="A19"/>
      <c r="B19" s="140">
        <v>13</v>
      </c>
      <c r="C19" s="104" t="s">
        <v>88</v>
      </c>
      <c r="D19" s="141" t="s">
        <v>15</v>
      </c>
      <c r="E19" s="135" t="s">
        <v>143</v>
      </c>
      <c r="F19" s="143">
        <v>2.75</v>
      </c>
      <c r="G19" s="154">
        <v>525</v>
      </c>
      <c r="H19" s="119">
        <f t="shared" si="0"/>
        <v>1443.75</v>
      </c>
    </row>
    <row r="20" spans="1:11" s="75" customFormat="1" ht="18" x14ac:dyDescent="0.35">
      <c r="A20"/>
      <c r="B20" s="140">
        <v>14</v>
      </c>
      <c r="C20" s="104" t="s">
        <v>125</v>
      </c>
      <c r="D20" s="141" t="s">
        <v>15</v>
      </c>
      <c r="E20" s="135" t="s">
        <v>143</v>
      </c>
      <c r="F20" s="143">
        <v>8.75</v>
      </c>
      <c r="G20" s="154">
        <v>500</v>
      </c>
      <c r="H20" s="119">
        <f t="shared" si="0"/>
        <v>4375</v>
      </c>
    </row>
    <row r="21" spans="1:11" s="75" customFormat="1" ht="18" x14ac:dyDescent="0.35">
      <c r="A21"/>
      <c r="B21" s="140">
        <v>15</v>
      </c>
      <c r="C21" s="103" t="s">
        <v>79</v>
      </c>
      <c r="D21" s="141" t="s">
        <v>65</v>
      </c>
      <c r="E21" s="135" t="s">
        <v>143</v>
      </c>
      <c r="F21" s="143">
        <v>8.75</v>
      </c>
      <c r="G21" s="154">
        <v>495</v>
      </c>
      <c r="H21" s="119">
        <f t="shared" si="0"/>
        <v>4331.25</v>
      </c>
    </row>
    <row r="22" spans="1:11" s="75" customFormat="1" ht="18" x14ac:dyDescent="0.35">
      <c r="A22"/>
      <c r="B22" s="140">
        <v>16</v>
      </c>
      <c r="C22" s="103" t="s">
        <v>161</v>
      </c>
      <c r="D22" s="141" t="s">
        <v>16</v>
      </c>
      <c r="E22" s="135" t="s">
        <v>143</v>
      </c>
      <c r="F22" s="143">
        <v>6</v>
      </c>
      <c r="G22" s="154">
        <v>410</v>
      </c>
      <c r="H22" s="119">
        <f t="shared" si="0"/>
        <v>2460</v>
      </c>
    </row>
    <row r="23" spans="1:11" s="118" customFormat="1" ht="18" x14ac:dyDescent="0.35">
      <c r="A23" s="117"/>
      <c r="B23" s="140">
        <v>17</v>
      </c>
      <c r="C23" s="104" t="s">
        <v>89</v>
      </c>
      <c r="D23" s="10" t="s">
        <v>18</v>
      </c>
      <c r="E23" s="135" t="s">
        <v>143</v>
      </c>
      <c r="F23" s="143">
        <v>9</v>
      </c>
      <c r="G23" s="154">
        <v>610</v>
      </c>
      <c r="H23" s="119">
        <f t="shared" si="0"/>
        <v>5490</v>
      </c>
      <c r="J23" s="75"/>
      <c r="K23" s="75"/>
    </row>
    <row r="24" spans="1:11" s="75" customFormat="1" ht="18" x14ac:dyDescent="0.35">
      <c r="A24"/>
      <c r="B24" s="140">
        <v>18</v>
      </c>
      <c r="C24" s="102" t="s">
        <v>73</v>
      </c>
      <c r="D24" s="10" t="s">
        <v>14</v>
      </c>
      <c r="E24" s="135" t="s">
        <v>143</v>
      </c>
      <c r="F24" s="143">
        <v>8.25</v>
      </c>
      <c r="G24" s="154">
        <v>470</v>
      </c>
      <c r="H24" s="119">
        <f t="shared" si="0"/>
        <v>3877.5</v>
      </c>
    </row>
    <row r="25" spans="1:11" s="75" customFormat="1" ht="18" x14ac:dyDescent="0.35">
      <c r="A25"/>
      <c r="B25" s="140">
        <v>19</v>
      </c>
      <c r="C25" s="103" t="s">
        <v>107</v>
      </c>
      <c r="D25" s="10" t="s">
        <v>14</v>
      </c>
      <c r="E25" s="135" t="s">
        <v>143</v>
      </c>
      <c r="F25" s="143">
        <v>8.75</v>
      </c>
      <c r="G25" s="154">
        <v>470</v>
      </c>
      <c r="H25" s="119">
        <f t="shared" si="0"/>
        <v>4112.5</v>
      </c>
    </row>
    <row r="26" spans="1:11" s="75" customFormat="1" ht="18" x14ac:dyDescent="0.35">
      <c r="A26"/>
      <c r="B26" s="140">
        <v>20</v>
      </c>
      <c r="C26" s="103" t="s">
        <v>106</v>
      </c>
      <c r="D26" s="10" t="s">
        <v>15</v>
      </c>
      <c r="E26" s="135" t="s">
        <v>143</v>
      </c>
      <c r="F26" s="143">
        <v>8.75</v>
      </c>
      <c r="G26" s="154">
        <v>500</v>
      </c>
      <c r="H26" s="119">
        <f t="shared" si="0"/>
        <v>4375</v>
      </c>
    </row>
    <row r="27" spans="1:11" s="75" customFormat="1" ht="18" x14ac:dyDescent="0.35">
      <c r="A27"/>
      <c r="B27" s="140">
        <v>21</v>
      </c>
      <c r="C27" s="103" t="s">
        <v>101</v>
      </c>
      <c r="D27" s="142" t="s">
        <v>15</v>
      </c>
      <c r="E27" s="135" t="s">
        <v>143</v>
      </c>
      <c r="F27" s="143">
        <v>8.75</v>
      </c>
      <c r="G27" s="154">
        <v>505</v>
      </c>
      <c r="H27" s="119">
        <f t="shared" si="0"/>
        <v>4418.75</v>
      </c>
    </row>
    <row r="28" spans="1:11" s="75" customFormat="1" ht="18" x14ac:dyDescent="0.35">
      <c r="A28"/>
      <c r="B28" s="140">
        <v>22</v>
      </c>
      <c r="C28" s="103" t="s">
        <v>131</v>
      </c>
      <c r="D28" s="142" t="s">
        <v>15</v>
      </c>
      <c r="E28" s="135" t="s">
        <v>143</v>
      </c>
      <c r="F28" s="143">
        <v>8.75</v>
      </c>
      <c r="G28" s="154">
        <v>500</v>
      </c>
      <c r="H28" s="119">
        <f t="shared" si="0"/>
        <v>4375</v>
      </c>
    </row>
    <row r="29" spans="1:11" s="75" customFormat="1" ht="18" x14ac:dyDescent="0.35">
      <c r="A29"/>
      <c r="B29" s="140">
        <v>23</v>
      </c>
      <c r="C29" s="104" t="s">
        <v>87</v>
      </c>
      <c r="D29" s="141" t="s">
        <v>15</v>
      </c>
      <c r="E29" s="135" t="s">
        <v>143</v>
      </c>
      <c r="F29" s="143">
        <v>8.75</v>
      </c>
      <c r="G29" s="154">
        <v>550</v>
      </c>
      <c r="H29" s="119">
        <f t="shared" si="0"/>
        <v>4812.5</v>
      </c>
    </row>
    <row r="30" spans="1:11" s="75" customFormat="1" ht="18" x14ac:dyDescent="0.35">
      <c r="A30"/>
      <c r="B30" s="140">
        <v>24</v>
      </c>
      <c r="C30" s="101" t="s">
        <v>75</v>
      </c>
      <c r="D30" s="134" t="s">
        <v>14</v>
      </c>
      <c r="E30" s="135" t="s">
        <v>143</v>
      </c>
      <c r="F30" s="143">
        <v>8.5</v>
      </c>
      <c r="G30" s="154">
        <v>480</v>
      </c>
      <c r="H30" s="119">
        <f t="shared" si="0"/>
        <v>4080</v>
      </c>
    </row>
    <row r="31" spans="1:11" s="75" customFormat="1" ht="18" x14ac:dyDescent="0.35">
      <c r="A31"/>
      <c r="B31" s="140">
        <v>25</v>
      </c>
      <c r="C31" s="101" t="s">
        <v>114</v>
      </c>
      <c r="D31" s="134" t="s">
        <v>16</v>
      </c>
      <c r="E31" s="135" t="s">
        <v>143</v>
      </c>
      <c r="F31" s="143">
        <v>9</v>
      </c>
      <c r="G31" s="154">
        <v>370</v>
      </c>
      <c r="H31" s="119">
        <f t="shared" si="0"/>
        <v>3330</v>
      </c>
    </row>
    <row r="32" spans="1:11" s="75" customFormat="1" ht="18" x14ac:dyDescent="0.35">
      <c r="A32"/>
      <c r="B32" s="140">
        <v>26</v>
      </c>
      <c r="C32" s="105" t="s">
        <v>119</v>
      </c>
      <c r="D32" s="134" t="s">
        <v>16</v>
      </c>
      <c r="E32" s="135" t="s">
        <v>143</v>
      </c>
      <c r="F32" s="143">
        <v>9</v>
      </c>
      <c r="G32" s="154">
        <v>370</v>
      </c>
      <c r="H32" s="119">
        <f t="shared" si="0"/>
        <v>3330</v>
      </c>
    </row>
    <row r="33" spans="1:11" s="75" customFormat="1" ht="18" x14ac:dyDescent="0.35">
      <c r="A33"/>
      <c r="B33" s="140">
        <v>27</v>
      </c>
      <c r="C33" s="105" t="s">
        <v>115</v>
      </c>
      <c r="D33" s="134" t="s">
        <v>14</v>
      </c>
      <c r="E33" s="135" t="s">
        <v>143</v>
      </c>
      <c r="F33" s="143">
        <v>9</v>
      </c>
      <c r="G33" s="154">
        <v>410</v>
      </c>
      <c r="H33" s="119">
        <f t="shared" si="0"/>
        <v>3690</v>
      </c>
    </row>
    <row r="34" spans="1:11" s="75" customFormat="1" ht="18" x14ac:dyDescent="0.35">
      <c r="A34"/>
      <c r="B34" s="140">
        <v>28</v>
      </c>
      <c r="C34" s="105" t="s">
        <v>132</v>
      </c>
      <c r="D34" s="134" t="s">
        <v>16</v>
      </c>
      <c r="E34" s="135" t="s">
        <v>143</v>
      </c>
      <c r="F34" s="143">
        <v>6</v>
      </c>
      <c r="G34" s="154">
        <v>360</v>
      </c>
      <c r="H34" s="119">
        <f t="shared" si="0"/>
        <v>2160</v>
      </c>
    </row>
    <row r="35" spans="1:11" s="75" customFormat="1" ht="18" x14ac:dyDescent="0.35">
      <c r="A35"/>
      <c r="B35" s="140">
        <v>29</v>
      </c>
      <c r="C35" s="104" t="s">
        <v>139</v>
      </c>
      <c r="D35" s="141" t="s">
        <v>16</v>
      </c>
      <c r="E35" s="135" t="s">
        <v>143</v>
      </c>
      <c r="F35" s="143">
        <v>9</v>
      </c>
      <c r="G35" s="154">
        <v>420</v>
      </c>
      <c r="H35" s="119">
        <f t="shared" si="0"/>
        <v>3780</v>
      </c>
    </row>
    <row r="36" spans="1:11" s="75" customFormat="1" ht="18" x14ac:dyDescent="0.35">
      <c r="A36"/>
      <c r="B36" s="140">
        <v>30</v>
      </c>
      <c r="C36" s="104" t="s">
        <v>133</v>
      </c>
      <c r="D36" s="134" t="s">
        <v>16</v>
      </c>
      <c r="E36" s="135" t="s">
        <v>143</v>
      </c>
      <c r="F36" s="143">
        <v>9</v>
      </c>
      <c r="G36" s="154">
        <v>360</v>
      </c>
      <c r="H36" s="119">
        <f t="shared" si="0"/>
        <v>3240</v>
      </c>
    </row>
    <row r="37" spans="1:11" s="75" customFormat="1" ht="18" x14ac:dyDescent="0.35">
      <c r="A37"/>
      <c r="B37" s="140">
        <v>31</v>
      </c>
      <c r="C37" s="102" t="s">
        <v>86</v>
      </c>
      <c r="D37" s="10" t="s">
        <v>14</v>
      </c>
      <c r="E37" s="135" t="s">
        <v>143</v>
      </c>
      <c r="F37" s="143">
        <v>6.5</v>
      </c>
      <c r="G37" s="154">
        <v>440</v>
      </c>
      <c r="H37" s="119">
        <f t="shared" si="0"/>
        <v>2860</v>
      </c>
      <c r="J37"/>
      <c r="K37"/>
    </row>
    <row r="38" spans="1:11" s="75" customFormat="1" ht="18" x14ac:dyDescent="0.35">
      <c r="A38"/>
      <c r="B38" s="140">
        <v>32</v>
      </c>
      <c r="C38" s="104" t="s">
        <v>162</v>
      </c>
      <c r="D38" s="134" t="s">
        <v>49</v>
      </c>
      <c r="E38" s="135" t="s">
        <v>143</v>
      </c>
      <c r="F38" s="143">
        <v>6</v>
      </c>
      <c r="G38" s="154">
        <v>320</v>
      </c>
      <c r="H38" s="119">
        <f t="shared" si="0"/>
        <v>1920</v>
      </c>
    </row>
    <row r="39" spans="1:11" s="75" customFormat="1" ht="18" x14ac:dyDescent="0.35">
      <c r="A39"/>
      <c r="B39" s="140">
        <v>33</v>
      </c>
      <c r="C39" s="104" t="s">
        <v>104</v>
      </c>
      <c r="D39" s="134" t="s">
        <v>49</v>
      </c>
      <c r="E39" s="135" t="s">
        <v>143</v>
      </c>
      <c r="F39" s="143">
        <v>8.75</v>
      </c>
      <c r="G39" s="154">
        <v>320</v>
      </c>
      <c r="H39" s="119">
        <f t="shared" si="0"/>
        <v>2800</v>
      </c>
    </row>
    <row r="40" spans="1:11" s="75" customFormat="1" ht="18" x14ac:dyDescent="0.35">
      <c r="A40"/>
      <c r="B40" s="140">
        <v>34</v>
      </c>
      <c r="C40" s="103" t="s">
        <v>117</v>
      </c>
      <c r="D40" s="134" t="s">
        <v>49</v>
      </c>
      <c r="E40" s="135" t="s">
        <v>143</v>
      </c>
      <c r="F40" s="143">
        <v>7.5</v>
      </c>
      <c r="G40" s="154">
        <v>310</v>
      </c>
      <c r="H40" s="119">
        <f t="shared" si="0"/>
        <v>2325</v>
      </c>
      <c r="J40"/>
      <c r="K40"/>
    </row>
    <row r="41" spans="1:11" s="75" customFormat="1" ht="18" x14ac:dyDescent="0.35">
      <c r="A41"/>
      <c r="B41" s="140">
        <v>35</v>
      </c>
      <c r="C41" s="104" t="s">
        <v>116</v>
      </c>
      <c r="D41" s="134" t="s">
        <v>49</v>
      </c>
      <c r="E41" s="135" t="s">
        <v>143</v>
      </c>
      <c r="F41" s="143">
        <v>9</v>
      </c>
      <c r="G41" s="154">
        <v>310</v>
      </c>
      <c r="H41" s="119">
        <f t="shared" si="0"/>
        <v>2790</v>
      </c>
    </row>
    <row r="42" spans="1:11" ht="18.600000000000001" thickBot="1" x14ac:dyDescent="0.4">
      <c r="B42" s="98"/>
      <c r="C42" s="102" t="s">
        <v>67</v>
      </c>
      <c r="D42" s="10"/>
      <c r="E42" s="136"/>
      <c r="F42" s="136">
        <f>SUM(F7:F16)+SUM(F18:F41)</f>
        <v>272.5</v>
      </c>
      <c r="G42" s="155">
        <v>10</v>
      </c>
      <c r="H42" s="119">
        <f t="shared" si="0"/>
        <v>2725</v>
      </c>
      <c r="I42"/>
    </row>
    <row r="43" spans="1:11" ht="24" thickBot="1" x14ac:dyDescent="0.5">
      <c r="B43" s="99"/>
      <c r="C43" s="106"/>
      <c r="D43" s="137"/>
      <c r="E43" s="138" t="s">
        <v>4</v>
      </c>
      <c r="F43" s="138"/>
      <c r="G43" s="157"/>
      <c r="H43" s="72">
        <f>SUM(H7:H42)</f>
        <v>128567.5</v>
      </c>
      <c r="I43">
        <v>132253</v>
      </c>
      <c r="J43">
        <f>H43-I43</f>
        <v>-3685.5</v>
      </c>
    </row>
    <row r="44" spans="1:11" ht="21.6" thickBot="1" x14ac:dyDescent="0.45">
      <c r="B44" s="73"/>
      <c r="C44" s="5"/>
      <c r="D44" s="5"/>
      <c r="E44" s="80"/>
      <c r="F44" s="14"/>
      <c r="G44" s="80"/>
      <c r="H44" s="81"/>
      <c r="I44" s="81"/>
    </row>
    <row r="45" spans="1:11" ht="29.4" customHeight="1" thickBot="1" x14ac:dyDescent="0.5">
      <c r="B45" s="204" t="s">
        <v>163</v>
      </c>
      <c r="C45" s="205"/>
      <c r="D45" s="205"/>
      <c r="E45" s="205"/>
      <c r="F45" s="205"/>
      <c r="G45" s="205"/>
      <c r="H45" s="206"/>
      <c r="I45" s="81"/>
      <c r="J45" s="73"/>
    </row>
    <row r="46" spans="1:11" ht="26.25" customHeight="1" thickBot="1" x14ac:dyDescent="0.45">
      <c r="B46" s="197" t="s">
        <v>72</v>
      </c>
      <c r="C46" s="198"/>
      <c r="D46" s="198"/>
      <c r="E46" s="198"/>
      <c r="F46" s="198"/>
      <c r="G46" s="198"/>
      <c r="H46" s="199"/>
      <c r="I46" s="81"/>
      <c r="J46" s="73"/>
    </row>
    <row r="47" spans="1:11" ht="26.25" customHeight="1" thickBot="1" x14ac:dyDescent="0.45">
      <c r="B47" s="70" t="s">
        <v>31</v>
      </c>
      <c r="C47" s="144" t="s">
        <v>0</v>
      </c>
      <c r="D47" s="145"/>
      <c r="E47" s="90" t="s">
        <v>1</v>
      </c>
      <c r="F47" s="74" t="s">
        <v>13</v>
      </c>
      <c r="G47" s="158"/>
      <c r="H47" s="9" t="s">
        <v>2</v>
      </c>
      <c r="I47"/>
    </row>
    <row r="48" spans="1:11" ht="18" x14ac:dyDescent="0.35">
      <c r="B48" s="71">
        <v>1</v>
      </c>
      <c r="C48" s="12" t="s">
        <v>58</v>
      </c>
      <c r="D48" s="120" t="s">
        <v>78</v>
      </c>
      <c r="E48" s="135" t="s">
        <v>143</v>
      </c>
      <c r="F48" s="10">
        <v>8.75</v>
      </c>
      <c r="G48" s="185">
        <v>370</v>
      </c>
      <c r="H48" s="119">
        <f>F48*G48</f>
        <v>3237.5</v>
      </c>
      <c r="I48"/>
    </row>
    <row r="49" spans="2:10" ht="18" x14ac:dyDescent="0.35">
      <c r="B49" s="71">
        <v>2</v>
      </c>
      <c r="C49" s="12" t="s">
        <v>64</v>
      </c>
      <c r="D49" s="10" t="s">
        <v>78</v>
      </c>
      <c r="E49" s="135" t="s">
        <v>143</v>
      </c>
      <c r="F49" s="10">
        <v>4.25</v>
      </c>
      <c r="G49" s="136">
        <v>410</v>
      </c>
      <c r="H49" s="119">
        <f t="shared" ref="H49:H53" si="1">F49*G49</f>
        <v>1742.5</v>
      </c>
      <c r="I49"/>
    </row>
    <row r="50" spans="2:10" s="1" customFormat="1" ht="21" x14ac:dyDescent="0.4">
      <c r="B50" s="71">
        <v>3</v>
      </c>
      <c r="C50" s="12" t="s">
        <v>123</v>
      </c>
      <c r="D50" s="141" t="s">
        <v>15</v>
      </c>
      <c r="E50" s="135" t="s">
        <v>143</v>
      </c>
      <c r="F50" s="10">
        <v>8.5</v>
      </c>
      <c r="G50" s="136">
        <v>490</v>
      </c>
      <c r="H50" s="119">
        <f>F50*G50</f>
        <v>4165</v>
      </c>
    </row>
    <row r="51" spans="2:10" ht="18" x14ac:dyDescent="0.35">
      <c r="B51" s="71">
        <v>4</v>
      </c>
      <c r="C51" s="12" t="s">
        <v>94</v>
      </c>
      <c r="D51" s="10" t="s">
        <v>49</v>
      </c>
      <c r="E51" s="135" t="s">
        <v>143</v>
      </c>
      <c r="F51" s="10">
        <v>8.75</v>
      </c>
      <c r="G51" s="136">
        <v>360</v>
      </c>
      <c r="H51" s="119">
        <f t="shared" si="1"/>
        <v>3150</v>
      </c>
      <c r="I51"/>
    </row>
    <row r="52" spans="2:10" ht="18" x14ac:dyDescent="0.35">
      <c r="B52" s="71">
        <v>5</v>
      </c>
      <c r="C52" s="12" t="s">
        <v>148</v>
      </c>
      <c r="D52" s="10" t="s">
        <v>49</v>
      </c>
      <c r="E52" s="135" t="s">
        <v>143</v>
      </c>
      <c r="F52" s="10">
        <v>2.5</v>
      </c>
      <c r="G52" s="136">
        <v>310</v>
      </c>
      <c r="H52" s="119">
        <f t="shared" si="1"/>
        <v>775</v>
      </c>
      <c r="I52"/>
    </row>
    <row r="53" spans="2:10" ht="18" x14ac:dyDescent="0.35">
      <c r="B53" s="71">
        <v>6</v>
      </c>
      <c r="C53" s="12" t="s">
        <v>85</v>
      </c>
      <c r="D53" s="10" t="s">
        <v>49</v>
      </c>
      <c r="E53" s="135" t="s">
        <v>143</v>
      </c>
      <c r="F53" s="10">
        <v>8.75</v>
      </c>
      <c r="G53" s="136">
        <v>310</v>
      </c>
      <c r="H53" s="119">
        <f t="shared" si="1"/>
        <v>2712.5</v>
      </c>
      <c r="I53"/>
    </row>
    <row r="54" spans="2:10" ht="21.6" thickBot="1" x14ac:dyDescent="0.45">
      <c r="B54" s="71"/>
      <c r="C54" s="107"/>
      <c r="D54" s="139"/>
      <c r="E54" s="263"/>
      <c r="F54" s="264"/>
      <c r="G54" s="159"/>
      <c r="H54" s="122">
        <f>SUM(H48:H53)</f>
        <v>15782.5</v>
      </c>
      <c r="I54"/>
      <c r="J54" s="111"/>
    </row>
    <row r="56" spans="2:10" ht="21" x14ac:dyDescent="0.4">
      <c r="B56" s="73"/>
      <c r="C56" s="108"/>
      <c r="D56" s="152"/>
      <c r="E56" s="80"/>
      <c r="F56" s="80"/>
      <c r="G56" s="80"/>
      <c r="H56" s="81"/>
      <c r="I56" s="81"/>
    </row>
    <row r="57" spans="2:10" ht="18" x14ac:dyDescent="0.35">
      <c r="C57" s="129"/>
      <c r="D57" s="129"/>
      <c r="E57" s="14"/>
      <c r="F57" s="14"/>
      <c r="G57" s="14"/>
      <c r="H57" s="130"/>
    </row>
    <row r="59" spans="2:10" ht="18" x14ac:dyDescent="0.35">
      <c r="B59" s="71">
        <v>3</v>
      </c>
      <c r="C59" s="131" t="s">
        <v>97</v>
      </c>
      <c r="D59" s="10" t="s">
        <v>14</v>
      </c>
      <c r="E59" s="135" t="s">
        <v>143</v>
      </c>
      <c r="F59" s="10">
        <v>7.5</v>
      </c>
      <c r="G59" s="156">
        <v>460</v>
      </c>
      <c r="H59" s="119">
        <f t="shared" ref="H59:H64" si="2">F59*G59</f>
        <v>3450</v>
      </c>
      <c r="I59"/>
    </row>
    <row r="60" spans="2:10" ht="18" x14ac:dyDescent="0.35">
      <c r="B60" s="71">
        <v>4</v>
      </c>
      <c r="C60" s="131" t="s">
        <v>95</v>
      </c>
      <c r="D60" s="131" t="s">
        <v>15</v>
      </c>
      <c r="E60" s="135" t="s">
        <v>143</v>
      </c>
      <c r="F60" s="10">
        <v>7.5</v>
      </c>
      <c r="G60" s="156">
        <v>485</v>
      </c>
      <c r="H60" s="119">
        <f t="shared" si="2"/>
        <v>3637.5</v>
      </c>
      <c r="I60"/>
    </row>
    <row r="61" spans="2:10" ht="18" x14ac:dyDescent="0.35">
      <c r="B61" s="71">
        <v>5</v>
      </c>
      <c r="C61" s="131" t="s">
        <v>98</v>
      </c>
      <c r="D61" s="10" t="s">
        <v>14</v>
      </c>
      <c r="E61" s="135" t="s">
        <v>143</v>
      </c>
      <c r="F61" s="10">
        <v>7.25</v>
      </c>
      <c r="G61" s="156">
        <v>485</v>
      </c>
      <c r="H61" s="119">
        <f t="shared" si="2"/>
        <v>3516.25</v>
      </c>
      <c r="I61"/>
    </row>
    <row r="62" spans="2:10" ht="18" x14ac:dyDescent="0.35">
      <c r="B62" s="71">
        <v>6</v>
      </c>
      <c r="C62" s="131" t="s">
        <v>96</v>
      </c>
      <c r="D62" s="10" t="s">
        <v>14</v>
      </c>
      <c r="E62" s="135" t="s">
        <v>143</v>
      </c>
      <c r="F62" s="10">
        <v>7.25</v>
      </c>
      <c r="G62" s="156">
        <v>460</v>
      </c>
      <c r="H62" s="119">
        <f t="shared" si="2"/>
        <v>3335</v>
      </c>
      <c r="I62"/>
    </row>
    <row r="63" spans="2:10" ht="18" x14ac:dyDescent="0.35">
      <c r="B63" s="71">
        <v>7</v>
      </c>
      <c r="C63" s="131" t="s">
        <v>100</v>
      </c>
      <c r="D63" s="10" t="s">
        <v>14</v>
      </c>
      <c r="E63" s="135" t="s">
        <v>143</v>
      </c>
      <c r="F63" s="10">
        <v>7.5</v>
      </c>
      <c r="G63" s="156">
        <v>450</v>
      </c>
      <c r="H63" s="119">
        <f t="shared" si="2"/>
        <v>3375</v>
      </c>
      <c r="I63"/>
    </row>
    <row r="64" spans="2:10" ht="18" x14ac:dyDescent="0.35">
      <c r="B64" s="71">
        <v>8</v>
      </c>
      <c r="C64" s="131" t="s">
        <v>99</v>
      </c>
      <c r="D64" s="10" t="s">
        <v>14</v>
      </c>
      <c r="E64" s="135" t="s">
        <v>143</v>
      </c>
      <c r="F64" s="10">
        <v>7.5</v>
      </c>
      <c r="G64" s="156">
        <v>450</v>
      </c>
      <c r="H64" s="119">
        <f t="shared" si="2"/>
        <v>3375</v>
      </c>
      <c r="I64"/>
    </row>
    <row r="65" spans="8:8" x14ac:dyDescent="0.3">
      <c r="H65" s="153">
        <f>SUM(H59:H64)</f>
        <v>20688.75</v>
      </c>
    </row>
  </sheetData>
  <mergeCells count="8">
    <mergeCell ref="B46:H46"/>
    <mergeCell ref="E54:F54"/>
    <mergeCell ref="B1:I1"/>
    <mergeCell ref="B2:I2"/>
    <mergeCell ref="B3:I3"/>
    <mergeCell ref="B4:H4"/>
    <mergeCell ref="B5:H5"/>
    <mergeCell ref="B45:H45"/>
  </mergeCells>
  <pageMargins left="0.7" right="0.7" top="0.75" bottom="0.75" header="0.3" footer="0.3"/>
  <pageSetup paperSize="9" scale="5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A32F-54AD-49BC-B755-A9D3265955DD}">
  <sheetPr>
    <pageSetUpPr fitToPage="1"/>
  </sheetPr>
  <dimension ref="A1:K65"/>
  <sheetViews>
    <sheetView zoomScaleNormal="100" workbookViewId="0">
      <selection activeCell="L2" sqref="L2"/>
    </sheetView>
  </sheetViews>
  <sheetFormatPr defaultRowHeight="14.4" x14ac:dyDescent="0.3"/>
  <cols>
    <col min="1" max="1" width="15.33203125" customWidth="1"/>
    <col min="2" max="2" width="8.5546875" customWidth="1"/>
    <col min="3" max="3" width="33.6640625" style="58" customWidth="1"/>
    <col min="4" max="4" width="22.6640625" style="58" customWidth="1"/>
    <col min="5" max="5" width="23.44140625" style="75" bestFit="1" customWidth="1"/>
    <col min="6" max="6" width="11.6640625" style="75" customWidth="1"/>
    <col min="7" max="7" width="6.21875" style="75" customWidth="1"/>
    <col min="8" max="8" width="14.44140625" style="153" customWidth="1"/>
    <col min="9" max="9" width="16" style="153" customWidth="1"/>
    <col min="10" max="10" width="20.109375" customWidth="1"/>
    <col min="11" max="11" width="15.6640625" customWidth="1"/>
  </cols>
  <sheetData>
    <row r="1" spans="2:11" ht="25.2" x14ac:dyDescent="0.45">
      <c r="B1" s="265" t="s">
        <v>55</v>
      </c>
      <c r="C1" s="265"/>
      <c r="D1" s="265"/>
      <c r="E1" s="265"/>
      <c r="F1" s="265"/>
      <c r="G1" s="265"/>
      <c r="H1" s="265"/>
      <c r="I1" s="265"/>
      <c r="J1" s="151"/>
    </row>
    <row r="2" spans="2:11" ht="26.25" customHeight="1" x14ac:dyDescent="0.45">
      <c r="B2" s="265" t="s">
        <v>56</v>
      </c>
      <c r="C2" s="265"/>
      <c r="D2" s="265"/>
      <c r="E2" s="265"/>
      <c r="F2" s="265"/>
      <c r="G2" s="265"/>
      <c r="H2" s="265"/>
      <c r="I2" s="265"/>
      <c r="J2" s="151"/>
    </row>
    <row r="3" spans="2:11" ht="24.75" customHeight="1" thickBot="1" x14ac:dyDescent="0.5">
      <c r="B3" s="266" t="s">
        <v>57</v>
      </c>
      <c r="C3" s="266"/>
      <c r="D3" s="266"/>
      <c r="E3" s="266"/>
      <c r="F3" s="266"/>
      <c r="G3" s="266"/>
      <c r="H3" s="266"/>
      <c r="I3" s="266"/>
    </row>
    <row r="4" spans="2:11" ht="25.8" thickBot="1" x14ac:dyDescent="0.5">
      <c r="B4" s="204" t="s">
        <v>163</v>
      </c>
      <c r="C4" s="205"/>
      <c r="D4" s="205"/>
      <c r="E4" s="205"/>
      <c r="F4" s="205"/>
      <c r="G4" s="205"/>
      <c r="H4" s="206"/>
      <c r="I4"/>
    </row>
    <row r="5" spans="2:11" ht="31.5" customHeight="1" thickBot="1" x14ac:dyDescent="0.35">
      <c r="B5" s="197" t="s">
        <v>69</v>
      </c>
      <c r="C5" s="198"/>
      <c r="D5" s="198"/>
      <c r="E5" s="198"/>
      <c r="F5" s="198"/>
      <c r="G5" s="198"/>
      <c r="H5" s="199"/>
      <c r="I5"/>
    </row>
    <row r="6" spans="2:11" ht="31.8" customHeight="1" thickBot="1" x14ac:dyDescent="0.45">
      <c r="B6" s="97" t="s">
        <v>31</v>
      </c>
      <c r="C6" s="100" t="s">
        <v>0</v>
      </c>
      <c r="D6" s="132"/>
      <c r="E6" s="133" t="s">
        <v>1</v>
      </c>
      <c r="F6" s="94" t="s">
        <v>13</v>
      </c>
      <c r="G6" s="184"/>
      <c r="H6" s="27" t="s">
        <v>2</v>
      </c>
      <c r="I6"/>
    </row>
    <row r="7" spans="2:11" ht="18" x14ac:dyDescent="0.35">
      <c r="B7" s="140">
        <v>1</v>
      </c>
      <c r="C7" s="104" t="s">
        <v>102</v>
      </c>
      <c r="D7" s="10" t="s">
        <v>14</v>
      </c>
      <c r="E7" s="135" t="s">
        <v>143</v>
      </c>
      <c r="F7" s="143">
        <v>8.75</v>
      </c>
      <c r="G7" s="166">
        <v>390</v>
      </c>
      <c r="H7" s="119">
        <f>F7*G7</f>
        <v>3412.5</v>
      </c>
      <c r="I7"/>
    </row>
    <row r="8" spans="2:11" ht="18" x14ac:dyDescent="0.35">
      <c r="B8" s="140">
        <v>2</v>
      </c>
      <c r="C8" s="104" t="s">
        <v>77</v>
      </c>
      <c r="D8" s="10" t="s">
        <v>14</v>
      </c>
      <c r="E8" s="135" t="s">
        <v>143</v>
      </c>
      <c r="F8" s="143">
        <v>7.75</v>
      </c>
      <c r="G8" s="154">
        <v>450</v>
      </c>
      <c r="H8" s="119">
        <f t="shared" ref="H8:H42" si="0">F8*G8</f>
        <v>3487.5</v>
      </c>
      <c r="I8"/>
    </row>
    <row r="9" spans="2:11" ht="18" x14ac:dyDescent="0.35">
      <c r="B9" s="140">
        <v>3</v>
      </c>
      <c r="C9" s="104" t="s">
        <v>138</v>
      </c>
      <c r="D9" s="142" t="s">
        <v>15</v>
      </c>
      <c r="E9" s="135" t="s">
        <v>143</v>
      </c>
      <c r="F9" s="143">
        <v>8.75</v>
      </c>
      <c r="G9" s="154">
        <v>525</v>
      </c>
      <c r="H9" s="119">
        <f t="shared" si="0"/>
        <v>4593.75</v>
      </c>
      <c r="I9"/>
      <c r="J9" s="165" t="s">
        <v>102</v>
      </c>
      <c r="K9" s="166">
        <v>390</v>
      </c>
    </row>
    <row r="10" spans="2:11" ht="18" x14ac:dyDescent="0.35">
      <c r="B10" s="140">
        <v>4</v>
      </c>
      <c r="C10" s="102" t="s">
        <v>66</v>
      </c>
      <c r="D10" s="10" t="s">
        <v>14</v>
      </c>
      <c r="E10" s="135" t="s">
        <v>143</v>
      </c>
      <c r="F10" s="143">
        <v>9</v>
      </c>
      <c r="G10" s="154">
        <v>440</v>
      </c>
      <c r="H10" s="119">
        <f t="shared" si="0"/>
        <v>3960</v>
      </c>
      <c r="I10"/>
      <c r="J10" s="165" t="s">
        <v>80</v>
      </c>
      <c r="K10" s="166">
        <v>370</v>
      </c>
    </row>
    <row r="11" spans="2:11" ht="18" x14ac:dyDescent="0.35">
      <c r="B11" s="140">
        <v>5</v>
      </c>
      <c r="C11" s="102" t="s">
        <v>91</v>
      </c>
      <c r="D11" s="10" t="s">
        <v>14</v>
      </c>
      <c r="E11" s="135" t="s">
        <v>143</v>
      </c>
      <c r="F11" s="143">
        <v>3</v>
      </c>
      <c r="G11" s="154">
        <v>470</v>
      </c>
      <c r="H11" s="119">
        <f t="shared" si="0"/>
        <v>1410</v>
      </c>
      <c r="I11"/>
      <c r="J11" s="167" t="s">
        <v>17</v>
      </c>
      <c r="K11" s="166">
        <v>590</v>
      </c>
    </row>
    <row r="12" spans="2:11" ht="18" x14ac:dyDescent="0.35">
      <c r="B12" s="140">
        <v>6</v>
      </c>
      <c r="C12" s="103" t="s">
        <v>105</v>
      </c>
      <c r="D12" s="10" t="s">
        <v>14</v>
      </c>
      <c r="E12" s="135" t="s">
        <v>143</v>
      </c>
      <c r="F12" s="143">
        <v>8.5</v>
      </c>
      <c r="G12" s="154">
        <v>495</v>
      </c>
      <c r="H12" s="119">
        <f t="shared" si="0"/>
        <v>4207.5</v>
      </c>
      <c r="I12"/>
      <c r="J12" s="168" t="s">
        <v>93</v>
      </c>
      <c r="K12" s="166">
        <v>400</v>
      </c>
    </row>
    <row r="13" spans="2:11" ht="18" x14ac:dyDescent="0.35">
      <c r="B13" s="140">
        <v>7</v>
      </c>
      <c r="C13" s="103" t="s">
        <v>124</v>
      </c>
      <c r="D13" s="10" t="s">
        <v>14</v>
      </c>
      <c r="E13" s="135" t="s">
        <v>143</v>
      </c>
      <c r="F13" s="143">
        <v>8.75</v>
      </c>
      <c r="G13" s="154">
        <v>460</v>
      </c>
      <c r="H13" s="119">
        <f t="shared" si="0"/>
        <v>4025</v>
      </c>
      <c r="I13"/>
      <c r="J13" s="165" t="s">
        <v>89</v>
      </c>
      <c r="K13" s="166">
        <v>590</v>
      </c>
    </row>
    <row r="14" spans="2:11" ht="18" x14ac:dyDescent="0.35">
      <c r="B14" s="140">
        <v>8</v>
      </c>
      <c r="C14" s="103" t="s">
        <v>110</v>
      </c>
      <c r="D14" s="10" t="s">
        <v>14</v>
      </c>
      <c r="E14" s="135" t="s">
        <v>143</v>
      </c>
      <c r="F14" s="143">
        <v>8.75</v>
      </c>
      <c r="G14" s="154">
        <v>470</v>
      </c>
      <c r="H14" s="119">
        <f t="shared" si="0"/>
        <v>4112.5</v>
      </c>
      <c r="I14"/>
      <c r="J14" s="165" t="s">
        <v>87</v>
      </c>
      <c r="K14" s="166">
        <v>530</v>
      </c>
    </row>
    <row r="15" spans="2:11" ht="18" x14ac:dyDescent="0.35">
      <c r="B15" s="140">
        <v>9</v>
      </c>
      <c r="C15" s="103" t="s">
        <v>118</v>
      </c>
      <c r="D15" s="141" t="s">
        <v>14</v>
      </c>
      <c r="E15" s="135" t="s">
        <v>143</v>
      </c>
      <c r="F15" s="143">
        <v>7.25</v>
      </c>
      <c r="G15" s="154">
        <v>470</v>
      </c>
      <c r="H15" s="119">
        <f t="shared" si="0"/>
        <v>3407.5</v>
      </c>
      <c r="I15"/>
      <c r="J15" s="75"/>
      <c r="K15" s="75"/>
    </row>
    <row r="16" spans="2:11" ht="18" x14ac:dyDescent="0.35">
      <c r="B16" s="140">
        <v>10</v>
      </c>
      <c r="C16" s="104" t="s">
        <v>109</v>
      </c>
      <c r="D16" s="141" t="s">
        <v>16</v>
      </c>
      <c r="E16" s="135" t="s">
        <v>143</v>
      </c>
      <c r="F16" s="143">
        <v>8.5</v>
      </c>
      <c r="G16" s="154">
        <v>390</v>
      </c>
      <c r="H16" s="119">
        <f t="shared" si="0"/>
        <v>3315</v>
      </c>
      <c r="I16"/>
      <c r="J16" s="75"/>
      <c r="K16" s="75"/>
    </row>
    <row r="17" spans="1:11" s="75" customFormat="1" ht="18" x14ac:dyDescent="0.35">
      <c r="A17"/>
      <c r="B17" s="140">
        <v>11</v>
      </c>
      <c r="C17" s="102" t="s">
        <v>17</v>
      </c>
      <c r="D17" s="10" t="s">
        <v>18</v>
      </c>
      <c r="E17" s="135" t="s">
        <v>143</v>
      </c>
      <c r="F17" s="143">
        <v>9</v>
      </c>
      <c r="G17" s="166">
        <v>590</v>
      </c>
      <c r="H17" s="119">
        <f t="shared" si="0"/>
        <v>5310</v>
      </c>
      <c r="I17" s="75" t="s">
        <v>92</v>
      </c>
    </row>
    <row r="18" spans="1:11" s="75" customFormat="1" ht="18" x14ac:dyDescent="0.35">
      <c r="A18"/>
      <c r="B18" s="140">
        <v>12</v>
      </c>
      <c r="C18" s="103" t="s">
        <v>93</v>
      </c>
      <c r="D18" s="141" t="s">
        <v>16</v>
      </c>
      <c r="E18" s="135" t="s">
        <v>143</v>
      </c>
      <c r="F18" s="143">
        <v>9</v>
      </c>
      <c r="G18" s="166">
        <v>400</v>
      </c>
      <c r="H18" s="119">
        <f t="shared" si="0"/>
        <v>3600</v>
      </c>
    </row>
    <row r="19" spans="1:11" s="75" customFormat="1" ht="18" x14ac:dyDescent="0.35">
      <c r="A19"/>
      <c r="B19" s="140">
        <v>13</v>
      </c>
      <c r="C19" s="165" t="s">
        <v>88</v>
      </c>
      <c r="D19" s="141" t="s">
        <v>15</v>
      </c>
      <c r="E19" s="135" t="s">
        <v>143</v>
      </c>
      <c r="F19" s="143">
        <v>2.75</v>
      </c>
      <c r="G19" s="154">
        <v>525</v>
      </c>
      <c r="H19" s="119">
        <f t="shared" si="0"/>
        <v>1443.75</v>
      </c>
    </row>
    <row r="20" spans="1:11" s="75" customFormat="1" ht="18" x14ac:dyDescent="0.35">
      <c r="A20"/>
      <c r="B20" s="140">
        <v>14</v>
      </c>
      <c r="C20" s="104" t="s">
        <v>125</v>
      </c>
      <c r="D20" s="141" t="s">
        <v>15</v>
      </c>
      <c r="E20" s="135" t="s">
        <v>143</v>
      </c>
      <c r="F20" s="143">
        <v>8.75</v>
      </c>
      <c r="G20" s="154">
        <v>500</v>
      </c>
      <c r="H20" s="119">
        <f t="shared" si="0"/>
        <v>4375</v>
      </c>
    </row>
    <row r="21" spans="1:11" s="75" customFormat="1" ht="18" x14ac:dyDescent="0.35">
      <c r="A21"/>
      <c r="B21" s="140">
        <v>15</v>
      </c>
      <c r="C21" s="103" t="s">
        <v>79</v>
      </c>
      <c r="D21" s="141" t="s">
        <v>65</v>
      </c>
      <c r="E21" s="135" t="s">
        <v>143</v>
      </c>
      <c r="F21" s="143">
        <v>8.75</v>
      </c>
      <c r="G21" s="154">
        <v>495</v>
      </c>
      <c r="H21" s="119">
        <f t="shared" si="0"/>
        <v>4331.25</v>
      </c>
    </row>
    <row r="22" spans="1:11" s="75" customFormat="1" ht="18" x14ac:dyDescent="0.35">
      <c r="A22"/>
      <c r="B22" s="140">
        <v>16</v>
      </c>
      <c r="C22" s="103" t="s">
        <v>161</v>
      </c>
      <c r="D22" s="141" t="s">
        <v>16</v>
      </c>
      <c r="E22" s="135" t="s">
        <v>143</v>
      </c>
      <c r="F22" s="143">
        <v>6</v>
      </c>
      <c r="G22" s="154">
        <v>410</v>
      </c>
      <c r="H22" s="119">
        <f t="shared" si="0"/>
        <v>2460</v>
      </c>
    </row>
    <row r="23" spans="1:11" s="118" customFormat="1" ht="18" x14ac:dyDescent="0.35">
      <c r="A23" s="117"/>
      <c r="B23" s="140">
        <v>17</v>
      </c>
      <c r="C23" s="104" t="s">
        <v>89</v>
      </c>
      <c r="D23" s="10" t="s">
        <v>18</v>
      </c>
      <c r="E23" s="135" t="s">
        <v>143</v>
      </c>
      <c r="F23" s="143">
        <v>9</v>
      </c>
      <c r="G23" s="166">
        <v>590</v>
      </c>
      <c r="H23" s="119">
        <f t="shared" si="0"/>
        <v>5310</v>
      </c>
      <c r="J23" s="75"/>
      <c r="K23" s="75"/>
    </row>
    <row r="24" spans="1:11" s="75" customFormat="1" ht="18" x14ac:dyDescent="0.35">
      <c r="A24"/>
      <c r="B24" s="140">
        <v>18</v>
      </c>
      <c r="C24" s="102" t="s">
        <v>73</v>
      </c>
      <c r="D24" s="10" t="s">
        <v>14</v>
      </c>
      <c r="E24" s="135" t="s">
        <v>143</v>
      </c>
      <c r="F24" s="143">
        <v>8.25</v>
      </c>
      <c r="G24" s="154">
        <v>470</v>
      </c>
      <c r="H24" s="119">
        <f t="shared" si="0"/>
        <v>3877.5</v>
      </c>
    </row>
    <row r="25" spans="1:11" s="75" customFormat="1" ht="18" x14ac:dyDescent="0.35">
      <c r="A25"/>
      <c r="B25" s="140">
        <v>19</v>
      </c>
      <c r="C25" s="103" t="s">
        <v>107</v>
      </c>
      <c r="D25" s="10" t="s">
        <v>14</v>
      </c>
      <c r="E25" s="135" t="s">
        <v>143</v>
      </c>
      <c r="F25" s="143">
        <v>8.75</v>
      </c>
      <c r="G25" s="154">
        <v>470</v>
      </c>
      <c r="H25" s="119">
        <f t="shared" si="0"/>
        <v>4112.5</v>
      </c>
    </row>
    <row r="26" spans="1:11" s="75" customFormat="1" ht="18" x14ac:dyDescent="0.35">
      <c r="A26"/>
      <c r="B26" s="140">
        <v>20</v>
      </c>
      <c r="C26" s="103" t="s">
        <v>106</v>
      </c>
      <c r="D26" s="10" t="s">
        <v>15</v>
      </c>
      <c r="E26" s="135" t="s">
        <v>143</v>
      </c>
      <c r="F26" s="143">
        <v>8.75</v>
      </c>
      <c r="G26" s="154">
        <v>500</v>
      </c>
      <c r="H26" s="119">
        <f t="shared" si="0"/>
        <v>4375</v>
      </c>
    </row>
    <row r="27" spans="1:11" s="75" customFormat="1" ht="18" x14ac:dyDescent="0.35">
      <c r="A27"/>
      <c r="B27" s="140">
        <v>21</v>
      </c>
      <c r="C27" s="103" t="s">
        <v>101</v>
      </c>
      <c r="D27" s="142" t="s">
        <v>15</v>
      </c>
      <c r="E27" s="135" t="s">
        <v>143</v>
      </c>
      <c r="F27" s="143">
        <v>8.75</v>
      </c>
      <c r="G27" s="154">
        <v>505</v>
      </c>
      <c r="H27" s="119">
        <f t="shared" si="0"/>
        <v>4418.75</v>
      </c>
    </row>
    <row r="28" spans="1:11" s="75" customFormat="1" ht="18" x14ac:dyDescent="0.35">
      <c r="A28"/>
      <c r="B28" s="140">
        <v>22</v>
      </c>
      <c r="C28" s="103" t="s">
        <v>131</v>
      </c>
      <c r="D28" s="142" t="s">
        <v>15</v>
      </c>
      <c r="E28" s="135" t="s">
        <v>143</v>
      </c>
      <c r="F28" s="143">
        <v>8.75</v>
      </c>
      <c r="G28" s="154">
        <v>500</v>
      </c>
      <c r="H28" s="119">
        <f t="shared" si="0"/>
        <v>4375</v>
      </c>
    </row>
    <row r="29" spans="1:11" s="75" customFormat="1" ht="18" x14ac:dyDescent="0.35">
      <c r="A29"/>
      <c r="B29" s="140">
        <v>23</v>
      </c>
      <c r="C29" s="104" t="s">
        <v>87</v>
      </c>
      <c r="D29" s="141" t="s">
        <v>15</v>
      </c>
      <c r="E29" s="135" t="s">
        <v>143</v>
      </c>
      <c r="F29" s="143">
        <v>8.75</v>
      </c>
      <c r="G29" s="166">
        <v>530</v>
      </c>
      <c r="H29" s="119">
        <f t="shared" si="0"/>
        <v>4637.5</v>
      </c>
    </row>
    <row r="30" spans="1:11" s="75" customFormat="1" ht="18" x14ac:dyDescent="0.35">
      <c r="A30"/>
      <c r="B30" s="140">
        <v>24</v>
      </c>
      <c r="C30" s="101" t="s">
        <v>75</v>
      </c>
      <c r="D30" s="134" t="s">
        <v>14</v>
      </c>
      <c r="E30" s="135" t="s">
        <v>143</v>
      </c>
      <c r="F30" s="143">
        <v>8.5</v>
      </c>
      <c r="G30" s="154">
        <v>480</v>
      </c>
      <c r="H30" s="119">
        <f t="shared" si="0"/>
        <v>4080</v>
      </c>
    </row>
    <row r="31" spans="1:11" s="75" customFormat="1" ht="18" x14ac:dyDescent="0.35">
      <c r="A31"/>
      <c r="B31" s="140">
        <v>25</v>
      </c>
      <c r="C31" s="101" t="s">
        <v>114</v>
      </c>
      <c r="D31" s="134" t="s">
        <v>16</v>
      </c>
      <c r="E31" s="135" t="s">
        <v>143</v>
      </c>
      <c r="F31" s="143">
        <v>9</v>
      </c>
      <c r="G31" s="154">
        <v>370</v>
      </c>
      <c r="H31" s="119">
        <f t="shared" si="0"/>
        <v>3330</v>
      </c>
    </row>
    <row r="32" spans="1:11" s="75" customFormat="1" ht="18" x14ac:dyDescent="0.35">
      <c r="A32"/>
      <c r="B32" s="140">
        <v>26</v>
      </c>
      <c r="C32" s="105" t="s">
        <v>119</v>
      </c>
      <c r="D32" s="134" t="s">
        <v>16</v>
      </c>
      <c r="E32" s="135" t="s">
        <v>143</v>
      </c>
      <c r="F32" s="143">
        <v>9</v>
      </c>
      <c r="G32" s="154">
        <v>370</v>
      </c>
      <c r="H32" s="119">
        <f t="shared" si="0"/>
        <v>3330</v>
      </c>
    </row>
    <row r="33" spans="1:11" s="75" customFormat="1" ht="18" x14ac:dyDescent="0.35">
      <c r="A33"/>
      <c r="B33" s="140">
        <v>27</v>
      </c>
      <c r="C33" s="105" t="s">
        <v>115</v>
      </c>
      <c r="D33" s="134" t="s">
        <v>14</v>
      </c>
      <c r="E33" s="135" t="s">
        <v>143</v>
      </c>
      <c r="F33" s="143">
        <v>9</v>
      </c>
      <c r="G33" s="154">
        <v>410</v>
      </c>
      <c r="H33" s="119">
        <f t="shared" si="0"/>
        <v>3690</v>
      </c>
    </row>
    <row r="34" spans="1:11" s="75" customFormat="1" ht="18" x14ac:dyDescent="0.35">
      <c r="A34"/>
      <c r="B34" s="140">
        <v>28</v>
      </c>
      <c r="C34" s="187" t="s">
        <v>132</v>
      </c>
      <c r="D34" s="134" t="s">
        <v>16</v>
      </c>
      <c r="E34" s="135" t="s">
        <v>143</v>
      </c>
      <c r="F34" s="143">
        <v>6</v>
      </c>
      <c r="G34" s="154">
        <v>360</v>
      </c>
      <c r="H34" s="119">
        <f t="shared" si="0"/>
        <v>2160</v>
      </c>
    </row>
    <row r="35" spans="1:11" s="75" customFormat="1" ht="18" x14ac:dyDescent="0.35">
      <c r="A35"/>
      <c r="B35" s="140">
        <v>29</v>
      </c>
      <c r="C35" s="104" t="s">
        <v>139</v>
      </c>
      <c r="D35" s="141" t="s">
        <v>16</v>
      </c>
      <c r="E35" s="135" t="s">
        <v>143</v>
      </c>
      <c r="F35" s="143">
        <v>9</v>
      </c>
      <c r="G35" s="154">
        <v>420</v>
      </c>
      <c r="H35" s="119">
        <f t="shared" si="0"/>
        <v>3780</v>
      </c>
    </row>
    <row r="36" spans="1:11" s="75" customFormat="1" ht="18" x14ac:dyDescent="0.35">
      <c r="A36"/>
      <c r="B36" s="140">
        <v>30</v>
      </c>
      <c r="C36" s="104" t="s">
        <v>133</v>
      </c>
      <c r="D36" s="134" t="s">
        <v>16</v>
      </c>
      <c r="E36" s="135" t="s">
        <v>143</v>
      </c>
      <c r="F36" s="143">
        <v>9</v>
      </c>
      <c r="G36" s="154">
        <v>360</v>
      </c>
      <c r="H36" s="119">
        <f t="shared" si="0"/>
        <v>3240</v>
      </c>
    </row>
    <row r="37" spans="1:11" s="75" customFormat="1" ht="18" x14ac:dyDescent="0.35">
      <c r="A37"/>
      <c r="B37" s="140">
        <v>31</v>
      </c>
      <c r="C37" s="167" t="s">
        <v>86</v>
      </c>
      <c r="D37" s="10" t="s">
        <v>14</v>
      </c>
      <c r="E37" s="135" t="s">
        <v>143</v>
      </c>
      <c r="F37" s="143">
        <v>6.5</v>
      </c>
      <c r="G37" s="154">
        <v>440</v>
      </c>
      <c r="H37" s="119">
        <f t="shared" si="0"/>
        <v>2860</v>
      </c>
      <c r="J37"/>
      <c r="K37"/>
    </row>
    <row r="38" spans="1:11" s="75" customFormat="1" ht="18" x14ac:dyDescent="0.35">
      <c r="A38"/>
      <c r="B38" s="140">
        <v>32</v>
      </c>
      <c r="C38" s="104" t="s">
        <v>162</v>
      </c>
      <c r="D38" s="134" t="s">
        <v>49</v>
      </c>
      <c r="E38" s="135" t="s">
        <v>143</v>
      </c>
      <c r="F38" s="143">
        <v>6</v>
      </c>
      <c r="G38" s="154">
        <v>320</v>
      </c>
      <c r="H38" s="119">
        <f t="shared" si="0"/>
        <v>1920</v>
      </c>
    </row>
    <row r="39" spans="1:11" s="75" customFormat="1" ht="18" x14ac:dyDescent="0.35">
      <c r="A39"/>
      <c r="B39" s="140">
        <v>33</v>
      </c>
      <c r="C39" s="104" t="s">
        <v>104</v>
      </c>
      <c r="D39" s="134" t="s">
        <v>49</v>
      </c>
      <c r="E39" s="135" t="s">
        <v>143</v>
      </c>
      <c r="F39" s="143">
        <v>8.75</v>
      </c>
      <c r="G39" s="154">
        <v>320</v>
      </c>
      <c r="H39" s="119">
        <f t="shared" si="0"/>
        <v>2800</v>
      </c>
    </row>
    <row r="40" spans="1:11" s="75" customFormat="1" ht="18" x14ac:dyDescent="0.35">
      <c r="A40"/>
      <c r="B40" s="140">
        <v>34</v>
      </c>
      <c r="C40" s="168" t="s">
        <v>117</v>
      </c>
      <c r="D40" s="134" t="s">
        <v>49</v>
      </c>
      <c r="E40" s="135" t="s">
        <v>143</v>
      </c>
      <c r="F40" s="143">
        <v>7.5</v>
      </c>
      <c r="G40" s="154">
        <v>310</v>
      </c>
      <c r="H40" s="119">
        <f t="shared" si="0"/>
        <v>2325</v>
      </c>
      <c r="J40"/>
      <c r="K40"/>
    </row>
    <row r="41" spans="1:11" s="75" customFormat="1" ht="18" x14ac:dyDescent="0.35">
      <c r="A41"/>
      <c r="B41" s="140">
        <v>35</v>
      </c>
      <c r="C41" s="104" t="s">
        <v>116</v>
      </c>
      <c r="D41" s="134" t="s">
        <v>49</v>
      </c>
      <c r="E41" s="135" t="s">
        <v>143</v>
      </c>
      <c r="F41" s="143">
        <v>9</v>
      </c>
      <c r="G41" s="154">
        <v>310</v>
      </c>
      <c r="H41" s="119">
        <f t="shared" si="0"/>
        <v>2790</v>
      </c>
    </row>
    <row r="42" spans="1:11" ht="18.600000000000001" thickBot="1" x14ac:dyDescent="0.4">
      <c r="B42" s="98"/>
      <c r="C42" s="102" t="s">
        <v>67</v>
      </c>
      <c r="D42" s="10"/>
      <c r="E42" s="136"/>
      <c r="F42" s="136">
        <f>SUM(F7:F16)+SUM(F18:F41)</f>
        <v>272.5</v>
      </c>
      <c r="G42" s="155">
        <v>10</v>
      </c>
      <c r="H42" s="119">
        <f t="shared" si="0"/>
        <v>2725</v>
      </c>
      <c r="I42"/>
    </row>
    <row r="43" spans="1:11" ht="24" thickBot="1" x14ac:dyDescent="0.5">
      <c r="B43" s="99"/>
      <c r="C43" s="106"/>
      <c r="D43" s="137"/>
      <c r="E43" s="138" t="s">
        <v>4</v>
      </c>
      <c r="F43" s="138"/>
      <c r="G43" s="157"/>
      <c r="H43" s="72">
        <f>SUM(H7:H42)</f>
        <v>127587.5</v>
      </c>
      <c r="I43"/>
    </row>
    <row r="44" spans="1:11" ht="21.6" thickBot="1" x14ac:dyDescent="0.45">
      <c r="B44" s="73"/>
      <c r="C44" s="5"/>
      <c r="D44" s="5"/>
      <c r="E44" s="80"/>
      <c r="F44" s="14"/>
      <c r="G44" s="80"/>
      <c r="H44" s="81"/>
      <c r="I44" s="81"/>
    </row>
    <row r="45" spans="1:11" ht="29.4" customHeight="1" thickBot="1" x14ac:dyDescent="0.5">
      <c r="B45" s="204" t="s">
        <v>163</v>
      </c>
      <c r="C45" s="205"/>
      <c r="D45" s="205"/>
      <c r="E45" s="205"/>
      <c r="F45" s="205"/>
      <c r="G45" s="205"/>
      <c r="H45" s="206"/>
      <c r="I45" s="81"/>
      <c r="J45" s="73"/>
    </row>
    <row r="46" spans="1:11" ht="26.25" customHeight="1" thickBot="1" x14ac:dyDescent="0.45">
      <c r="B46" s="197" t="s">
        <v>72</v>
      </c>
      <c r="C46" s="198"/>
      <c r="D46" s="198"/>
      <c r="E46" s="198"/>
      <c r="F46" s="198"/>
      <c r="G46" s="198"/>
      <c r="H46" s="199"/>
      <c r="I46" s="81"/>
      <c r="J46" s="73"/>
    </row>
    <row r="47" spans="1:11" ht="26.25" customHeight="1" thickBot="1" x14ac:dyDescent="0.45">
      <c r="B47" s="70" t="s">
        <v>31</v>
      </c>
      <c r="C47" s="144" t="s">
        <v>0</v>
      </c>
      <c r="D47" s="145"/>
      <c r="E47" s="90" t="s">
        <v>1</v>
      </c>
      <c r="F47" s="74" t="s">
        <v>13</v>
      </c>
      <c r="G47" s="158"/>
      <c r="H47" s="9" t="s">
        <v>2</v>
      </c>
      <c r="I47"/>
    </row>
    <row r="48" spans="1:11" ht="18" x14ac:dyDescent="0.35">
      <c r="B48" s="71">
        <v>1</v>
      </c>
      <c r="C48" s="12" t="s">
        <v>58</v>
      </c>
      <c r="D48" s="120" t="s">
        <v>78</v>
      </c>
      <c r="E48" s="135" t="s">
        <v>143</v>
      </c>
      <c r="F48" s="10">
        <v>8.75</v>
      </c>
      <c r="G48" s="185">
        <v>370</v>
      </c>
      <c r="H48" s="119">
        <f>F48*G48</f>
        <v>3237.5</v>
      </c>
      <c r="I48"/>
    </row>
    <row r="49" spans="2:10" ht="18" x14ac:dyDescent="0.35">
      <c r="B49" s="71">
        <v>2</v>
      </c>
      <c r="C49" s="12" t="s">
        <v>64</v>
      </c>
      <c r="D49" s="10" t="s">
        <v>78</v>
      </c>
      <c r="E49" s="135" t="s">
        <v>143</v>
      </c>
      <c r="F49" s="10">
        <v>4.25</v>
      </c>
      <c r="G49" s="136">
        <v>410</v>
      </c>
      <c r="H49" s="119">
        <f t="shared" ref="H49:H53" si="1">F49*G49</f>
        <v>1742.5</v>
      </c>
      <c r="I49"/>
    </row>
    <row r="50" spans="2:10" s="1" customFormat="1" ht="21" x14ac:dyDescent="0.4">
      <c r="B50" s="71">
        <v>3</v>
      </c>
      <c r="C50" s="12" t="s">
        <v>123</v>
      </c>
      <c r="D50" s="141" t="s">
        <v>15</v>
      </c>
      <c r="E50" s="135" t="s">
        <v>143</v>
      </c>
      <c r="F50" s="10">
        <v>8.5</v>
      </c>
      <c r="G50" s="136">
        <v>490</v>
      </c>
      <c r="H50" s="119">
        <f>F50*G50</f>
        <v>4165</v>
      </c>
    </row>
    <row r="51" spans="2:10" ht="18" x14ac:dyDescent="0.35">
      <c r="B51" s="71">
        <v>4</v>
      </c>
      <c r="C51" s="12" t="s">
        <v>94</v>
      </c>
      <c r="D51" s="10" t="s">
        <v>49</v>
      </c>
      <c r="E51" s="135" t="s">
        <v>143</v>
      </c>
      <c r="F51" s="10">
        <v>8.75</v>
      </c>
      <c r="G51" s="136">
        <v>360</v>
      </c>
      <c r="H51" s="119">
        <f t="shared" si="1"/>
        <v>3150</v>
      </c>
      <c r="I51"/>
    </row>
    <row r="52" spans="2:10" ht="18" x14ac:dyDescent="0.35">
      <c r="B52" s="71">
        <v>5</v>
      </c>
      <c r="C52" s="12" t="s">
        <v>148</v>
      </c>
      <c r="D52" s="10" t="s">
        <v>49</v>
      </c>
      <c r="E52" s="135" t="s">
        <v>143</v>
      </c>
      <c r="F52" s="10">
        <v>2.5</v>
      </c>
      <c r="G52" s="136">
        <v>310</v>
      </c>
      <c r="H52" s="119">
        <f t="shared" si="1"/>
        <v>775</v>
      </c>
      <c r="I52"/>
    </row>
    <row r="53" spans="2:10" ht="18" x14ac:dyDescent="0.35">
      <c r="B53" s="71">
        <v>6</v>
      </c>
      <c r="C53" s="12" t="s">
        <v>85</v>
      </c>
      <c r="D53" s="10" t="s">
        <v>49</v>
      </c>
      <c r="E53" s="135" t="s">
        <v>143</v>
      </c>
      <c r="F53" s="10">
        <v>8.75</v>
      </c>
      <c r="G53" s="136">
        <v>310</v>
      </c>
      <c r="H53" s="119">
        <f t="shared" si="1"/>
        <v>2712.5</v>
      </c>
      <c r="I53"/>
    </row>
    <row r="54" spans="2:10" ht="21.6" thickBot="1" x14ac:dyDescent="0.45">
      <c r="B54" s="71"/>
      <c r="C54" s="107"/>
      <c r="D54" s="139"/>
      <c r="E54" s="263"/>
      <c r="F54" s="264"/>
      <c r="G54" s="159"/>
      <c r="H54" s="122">
        <f>SUM(H48:H53)</f>
        <v>15782.5</v>
      </c>
      <c r="I54"/>
      <c r="J54" s="111"/>
    </row>
    <row r="56" spans="2:10" ht="21" x14ac:dyDescent="0.4">
      <c r="B56" s="73"/>
      <c r="C56" s="108"/>
      <c r="D56" s="152"/>
      <c r="E56" s="80"/>
      <c r="F56" s="80"/>
      <c r="G56" s="80"/>
      <c r="H56" s="81"/>
      <c r="I56" s="81"/>
    </row>
    <row r="57" spans="2:10" ht="18" x14ac:dyDescent="0.35">
      <c r="C57" s="129"/>
      <c r="D57" s="129"/>
      <c r="E57" s="14"/>
      <c r="F57" s="14"/>
      <c r="G57" s="14"/>
      <c r="H57" s="130"/>
    </row>
    <row r="59" spans="2:10" ht="18" x14ac:dyDescent="0.35">
      <c r="B59" s="71">
        <v>3</v>
      </c>
      <c r="C59" s="131" t="s">
        <v>97</v>
      </c>
      <c r="D59" s="10" t="s">
        <v>14</v>
      </c>
      <c r="E59" s="135" t="s">
        <v>143</v>
      </c>
      <c r="F59" s="10">
        <v>7.5</v>
      </c>
      <c r="G59" s="156">
        <v>460</v>
      </c>
      <c r="H59" s="119">
        <f t="shared" ref="H59:H64" si="2">F59*G59</f>
        <v>3450</v>
      </c>
      <c r="I59"/>
    </row>
    <row r="60" spans="2:10" ht="18" x14ac:dyDescent="0.35">
      <c r="B60" s="71">
        <v>4</v>
      </c>
      <c r="C60" s="131" t="s">
        <v>95</v>
      </c>
      <c r="D60" s="131" t="s">
        <v>15</v>
      </c>
      <c r="E60" s="135" t="s">
        <v>143</v>
      </c>
      <c r="F60" s="10">
        <v>7.5</v>
      </c>
      <c r="G60" s="156">
        <v>485</v>
      </c>
      <c r="H60" s="119">
        <f t="shared" si="2"/>
        <v>3637.5</v>
      </c>
      <c r="I60"/>
    </row>
    <row r="61" spans="2:10" ht="18" x14ac:dyDescent="0.35">
      <c r="B61" s="71">
        <v>5</v>
      </c>
      <c r="C61" s="131" t="s">
        <v>98</v>
      </c>
      <c r="D61" s="10" t="s">
        <v>14</v>
      </c>
      <c r="E61" s="135" t="s">
        <v>143</v>
      </c>
      <c r="F61" s="10">
        <v>7.25</v>
      </c>
      <c r="G61" s="156">
        <v>485</v>
      </c>
      <c r="H61" s="119">
        <f t="shared" si="2"/>
        <v>3516.25</v>
      </c>
      <c r="I61"/>
    </row>
    <row r="62" spans="2:10" ht="18" x14ac:dyDescent="0.35">
      <c r="B62" s="71">
        <v>6</v>
      </c>
      <c r="C62" s="131" t="s">
        <v>96</v>
      </c>
      <c r="D62" s="10" t="s">
        <v>14</v>
      </c>
      <c r="E62" s="135" t="s">
        <v>143</v>
      </c>
      <c r="F62" s="10">
        <v>7.25</v>
      </c>
      <c r="G62" s="156">
        <v>460</v>
      </c>
      <c r="H62" s="119">
        <f t="shared" si="2"/>
        <v>3335</v>
      </c>
      <c r="I62"/>
    </row>
    <row r="63" spans="2:10" ht="18" x14ac:dyDescent="0.35">
      <c r="B63" s="71">
        <v>7</v>
      </c>
      <c r="C63" s="131" t="s">
        <v>100</v>
      </c>
      <c r="D63" s="10" t="s">
        <v>14</v>
      </c>
      <c r="E63" s="135" t="s">
        <v>143</v>
      </c>
      <c r="F63" s="10">
        <v>7.5</v>
      </c>
      <c r="G63" s="156">
        <v>450</v>
      </c>
      <c r="H63" s="119">
        <f t="shared" si="2"/>
        <v>3375</v>
      </c>
      <c r="I63"/>
    </row>
    <row r="64" spans="2:10" ht="18" x14ac:dyDescent="0.35">
      <c r="B64" s="71">
        <v>8</v>
      </c>
      <c r="C64" s="131" t="s">
        <v>99</v>
      </c>
      <c r="D64" s="10" t="s">
        <v>14</v>
      </c>
      <c r="E64" s="135" t="s">
        <v>143</v>
      </c>
      <c r="F64" s="10">
        <v>7.5</v>
      </c>
      <c r="G64" s="156">
        <v>450</v>
      </c>
      <c r="H64" s="119">
        <f t="shared" si="2"/>
        <v>3375</v>
      </c>
      <c r="I64"/>
    </row>
    <row r="65" spans="8:8" x14ac:dyDescent="0.3">
      <c r="H65" s="153">
        <f>SUM(H59:H64)</f>
        <v>20688.75</v>
      </c>
    </row>
  </sheetData>
  <mergeCells count="8">
    <mergeCell ref="B46:H46"/>
    <mergeCell ref="E54:F54"/>
    <mergeCell ref="B1:I1"/>
    <mergeCell ref="B2:I2"/>
    <mergeCell ref="B3:I3"/>
    <mergeCell ref="B4:H4"/>
    <mergeCell ref="B5:H5"/>
    <mergeCell ref="B45:H45"/>
  </mergeCells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TALRS-HELPRS</vt:lpstr>
      <vt:lpstr>PC RATE-OTHERS</vt:lpstr>
      <vt:lpstr>BANK -TRANSFER</vt:lpstr>
      <vt:lpstr>SALARY</vt:lpstr>
      <vt:lpstr>PT-SHIFT</vt:lpstr>
      <vt:lpstr>PT-SHIFT (2)</vt:lpstr>
      <vt:lpstr>PT-SHIFT (3)</vt:lpstr>
      <vt:lpstr>'BANK -TRANSFER'!Print_Area</vt:lpstr>
      <vt:lpstr>'PT-SHIFT'!Print_Area</vt:lpstr>
      <vt:lpstr>'PT-SHIFT (2)'!Print_Area</vt:lpstr>
      <vt:lpstr>'PT-SHIFT (3)'!Print_Area</vt:lpstr>
      <vt:lpstr>SALARY!Print_Area</vt:lpstr>
      <vt:lpstr>'TALRS-HELPRS'!Print_Area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UZER</dc:creator>
  <cp:lastModifiedBy>GOWTHAM S</cp:lastModifiedBy>
  <cp:lastPrinted>2026-04-03T09:43:53Z</cp:lastPrinted>
  <dcterms:created xsi:type="dcterms:W3CDTF">2015-06-05T18:17:20Z</dcterms:created>
  <dcterms:modified xsi:type="dcterms:W3CDTF">2026-08-29T11:37:43Z</dcterms:modified>
</cp:coreProperties>
</file>