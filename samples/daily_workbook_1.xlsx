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0c994299529e3d5/Desktop/python/garmesnts-automation/samples/"/>
    </mc:Choice>
  </mc:AlternateContent>
  <xr:revisionPtr revIDLastSave="6" documentId="13_ncr:1_{761209B6-B842-4CA2-9B32-67B350517BC2}" xr6:coauthVersionLast="47" xr6:coauthVersionMax="47" xr10:uidLastSave="{D4AE7D0B-A337-4F25-A4F6-4B9B2E226A68}"/>
  <bookViews>
    <workbookView xWindow="3240" yWindow="3240" windowWidth="17280" windowHeight="8880" xr2:uid="{00000000-000D-0000-FFFF-FFFF00000000}"/>
  </bookViews>
  <sheets>
    <sheet name="4-10J" sheetId="5" r:id="rId1"/>
    <sheet name="4-10ju" sheetId="4" r:id="rId2"/>
  </sheets>
  <definedNames>
    <definedName name="_xlnm._FilterDatabase" localSheetId="0" hidden="1">'4-10J'!$A$2:$F$28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8" i="5" l="1"/>
  <c r="W28" i="5" s="1"/>
  <c r="U27" i="5"/>
  <c r="W27" i="5" s="1"/>
  <c r="U26" i="5"/>
  <c r="W26" i="5" s="1"/>
  <c r="X26" i="5" s="1"/>
  <c r="U24" i="5"/>
  <c r="W24" i="5" s="1"/>
  <c r="U23" i="5"/>
  <c r="W23" i="5" s="1"/>
  <c r="U22" i="5"/>
  <c r="W22" i="5" s="1"/>
  <c r="U21" i="5"/>
  <c r="W21" i="5" s="1"/>
  <c r="X21" i="5" s="1"/>
  <c r="W19" i="5"/>
  <c r="X19" i="5" s="1"/>
  <c r="U19" i="5"/>
  <c r="U17" i="5"/>
  <c r="W17" i="5" s="1"/>
  <c r="U16" i="5"/>
  <c r="W16" i="5" s="1"/>
  <c r="U14" i="5"/>
  <c r="W14" i="5" s="1"/>
  <c r="U13" i="5"/>
  <c r="W13" i="5" s="1"/>
  <c r="U12" i="5"/>
  <c r="W12" i="5" s="1"/>
  <c r="X14" i="5" s="1"/>
  <c r="U11" i="5"/>
  <c r="W11" i="5" s="1"/>
  <c r="U10" i="5"/>
  <c r="W10" i="5" s="1"/>
  <c r="U9" i="5"/>
  <c r="W9" i="5" s="1"/>
  <c r="U7" i="5"/>
  <c r="W7" i="5" s="1"/>
  <c r="U6" i="5"/>
  <c r="W6" i="5" s="1"/>
  <c r="U5" i="5"/>
  <c r="W5" i="5" s="1"/>
  <c r="U4" i="5"/>
  <c r="W4" i="5" s="1"/>
  <c r="S15" i="4"/>
  <c r="U15" i="4" s="1"/>
  <c r="S14" i="4"/>
  <c r="U14" i="4" s="1"/>
  <c r="V15" i="4" s="1"/>
  <c r="S13" i="4"/>
  <c r="U13" i="4" s="1"/>
  <c r="S11" i="4"/>
  <c r="U11" i="4" s="1"/>
  <c r="V11" i="4" s="1"/>
  <c r="S9" i="4"/>
  <c r="U9" i="4" s="1"/>
  <c r="V9" i="4" s="1"/>
  <c r="S7" i="4"/>
  <c r="U7" i="4" s="1"/>
  <c r="V7" i="4" s="1"/>
  <c r="S5" i="4"/>
  <c r="U5" i="4" s="1"/>
  <c r="S4" i="4"/>
  <c r="U4" i="4" s="1"/>
  <c r="V5" i="4" s="1"/>
  <c r="X24" i="5" l="1"/>
  <c r="X10" i="5"/>
  <c r="X7" i="5"/>
  <c r="X17" i="5"/>
  <c r="X5" i="5"/>
  <c r="X28" i="5"/>
</calcChain>
</file>

<file path=xl/sharedStrings.xml><?xml version="1.0" encoding="utf-8"?>
<sst xmlns="http://schemas.openxmlformats.org/spreadsheetml/2006/main" count="187" uniqueCount="67">
  <si>
    <t>DATE</t>
  </si>
  <si>
    <t>NAME</t>
  </si>
  <si>
    <t>TYPE</t>
  </si>
  <si>
    <t>QTY</t>
  </si>
  <si>
    <t>RATE</t>
  </si>
  <si>
    <t>TOTAL</t>
  </si>
  <si>
    <t>SALARY</t>
  </si>
  <si>
    <t>N/B</t>
  </si>
  <si>
    <t>0/3</t>
  </si>
  <si>
    <t>3/6</t>
  </si>
  <si>
    <t>6/9</t>
  </si>
  <si>
    <t>9/12</t>
  </si>
  <si>
    <t>2/3</t>
  </si>
  <si>
    <t>RE</t>
  </si>
  <si>
    <t>ROMPER</t>
  </si>
  <si>
    <t>SHORTS</t>
  </si>
  <si>
    <t>TOP</t>
  </si>
  <si>
    <t>STYLE</t>
  </si>
  <si>
    <t>COLOR</t>
  </si>
  <si>
    <t>12/18</t>
  </si>
  <si>
    <t>SINGER</t>
  </si>
  <si>
    <t>DESCRIPTION</t>
  </si>
  <si>
    <t>0/6</t>
  </si>
  <si>
    <t>6/12</t>
  </si>
  <si>
    <t>3Y</t>
  </si>
  <si>
    <t>ALL</t>
  </si>
  <si>
    <t>UMA</t>
  </si>
  <si>
    <t>PE004A25</t>
  </si>
  <si>
    <t>S.SUIT</t>
  </si>
  <si>
    <t>4 PEAK</t>
  </si>
  <si>
    <t>PEPX033S25</t>
  </si>
  <si>
    <t>BLUE</t>
  </si>
  <si>
    <t>PATTI+1 LOOP</t>
  </si>
  <si>
    <t>PE203PPA25</t>
  </si>
  <si>
    <t>PANT</t>
  </si>
  <si>
    <t>WHITE</t>
  </si>
  <si>
    <t>3 PEAK</t>
  </si>
  <si>
    <t>PXSR004A25</t>
  </si>
  <si>
    <t>010/07/2025</t>
  </si>
  <si>
    <t>R &amp; B</t>
  </si>
  <si>
    <t>PURPLE</t>
  </si>
  <si>
    <t>PINK</t>
  </si>
  <si>
    <t>6 PEAK</t>
  </si>
  <si>
    <t xml:space="preserve">POWER TABLE </t>
  </si>
  <si>
    <t>AMT</t>
  </si>
  <si>
    <t>P/M</t>
  </si>
  <si>
    <t>18/24</t>
  </si>
  <si>
    <t>2Y</t>
  </si>
  <si>
    <t>CHANDRASEKAR</t>
  </si>
  <si>
    <t>PEPX031A25</t>
  </si>
  <si>
    <t>GREEN</t>
  </si>
  <si>
    <t>SLEEVE ELS CVRG</t>
  </si>
  <si>
    <t>NECK FOLG</t>
  </si>
  <si>
    <t>SENTHIL KUMAR</t>
  </si>
  <si>
    <t>PEPX032A25</t>
  </si>
  <si>
    <t>HELLO BABY</t>
  </si>
  <si>
    <t>NECK+BOTTOM FOLG</t>
  </si>
  <si>
    <t>PEP004A25</t>
  </si>
  <si>
    <t>NAVY</t>
  </si>
  <si>
    <t>PATTI F/L</t>
  </si>
  <si>
    <t>PEPX033A25</t>
  </si>
  <si>
    <t>BODY TOWER</t>
  </si>
  <si>
    <t>CROTCH FOLDG</t>
  </si>
  <si>
    <t>LEG TOWER</t>
  </si>
  <si>
    <t>NECK +U FOLG</t>
  </si>
  <si>
    <t>POCKET S/N</t>
  </si>
  <si>
    <t>BACK 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</si>
</sst>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sz val="11"/>
      <color rgb="FF002060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49" fontId="2" fillId="2" borderId="4" xfId="1" applyNumberFormat="1" applyFont="1" applyFill="1" applyBorder="1" applyAlignment="1">
      <alignment horizontal="center"/>
    </xf>
    <xf numFmtId="49" fontId="2" fillId="2" borderId="4" xfId="1" applyNumberFormat="1" applyFont="1" applyFill="1" applyBorder="1"/>
    <xf numFmtId="14" fontId="1" fillId="0" borderId="5" xfId="1" applyNumberFormat="1" applyBorder="1"/>
    <xf numFmtId="0" fontId="1" fillId="0" borderId="5" xfId="1" applyBorder="1"/>
    <xf numFmtId="0" fontId="1" fillId="3" borderId="5" xfId="1" applyFill="1" applyBorder="1"/>
    <xf numFmtId="49" fontId="2" fillId="2" borderId="5" xfId="1" applyNumberFormat="1" applyFont="1" applyFill="1" applyBorder="1" applyAlignment="1">
      <alignment horizontal="center"/>
    </xf>
    <xf numFmtId="14" fontId="1" fillId="2" borderId="5" xfId="1" applyNumberFormat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5" borderId="7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1" fillId="2" borderId="6" xfId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3" fillId="6" borderId="8" xfId="1" applyFont="1" applyFill="1" applyBorder="1" applyAlignment="1">
      <alignment horizontal="center"/>
    </xf>
    <xf numFmtId="0" fontId="3" fillId="6" borderId="7" xfId="1" applyFont="1" applyFill="1" applyBorder="1" applyAlignment="1">
      <alignment horizontal="center"/>
    </xf>
    <xf numFmtId="164" fontId="2" fillId="2" borderId="4" xfId="1" applyNumberFormat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4" fillId="4" borderId="1" xfId="1" applyNumberFormat="1" applyFont="1" applyFill="1" applyBorder="1" applyAlignment="1">
      <alignment horizontal="center"/>
    </xf>
    <xf numFmtId="14" fontId="4" fillId="4" borderId="2" xfId="1" applyNumberFormat="1" applyFont="1" applyFill="1" applyBorder="1" applyAlignment="1">
      <alignment horizontal="center"/>
    </xf>
    <xf numFmtId="14" fontId="4" fillId="4" borderId="3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28FD8CCA-2264-4932-85C6-D614721913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564F-AD79-4F90-9798-FA30198FD0D2}">
  <dimension ref="A1:X28"/>
  <sheetViews>
    <sheetView tabSelected="1" workbookViewId="0">
      <pane ySplit="3" topLeftCell="A25" activePane="bottomLeft" state="frozen"/>
      <selection pane="bottomLeft" activeCell="C28" sqref="C28"/>
    </sheetView>
  </sheetViews>
  <sheetFormatPr defaultRowHeight="14.4"/>
  <cols>
    <col min="1" max="1" width="12.21875" style="1" customWidth="1"/>
    <col min="2" max="2" width="14.6640625" style="1" bestFit="1" customWidth="1"/>
    <col min="3" max="3" width="12" style="1" customWidth="1"/>
    <col min="4" max="4" width="9" style="1" customWidth="1"/>
    <col min="5" max="5" width="11.21875" style="1" bestFit="1" customWidth="1"/>
    <col min="6" max="6" width="18.88671875" style="1" bestFit="1" customWidth="1"/>
    <col min="7" max="7" width="3.88671875" style="1" bestFit="1" customWidth="1"/>
    <col min="8" max="8" width="4" style="1" bestFit="1" customWidth="1"/>
    <col min="9" max="9" width="4.77734375" style="1" bestFit="1" customWidth="1"/>
    <col min="10" max="10" width="4.33203125" style="1" bestFit="1" customWidth="1"/>
    <col min="11" max="13" width="3.88671875" style="1" bestFit="1" customWidth="1"/>
    <col min="14" max="15" width="4.88671875" style="1" bestFit="1" customWidth="1"/>
    <col min="16" max="17" width="5.88671875" style="1" bestFit="1" customWidth="1"/>
    <col min="18" max="19" width="4" style="1" bestFit="1" customWidth="1"/>
    <col min="20" max="20" width="5" style="1" bestFit="1" customWidth="1"/>
    <col min="21" max="21" width="5.5546875" style="1" customWidth="1"/>
    <col min="22" max="22" width="5.33203125" style="1" bestFit="1" customWidth="1"/>
    <col min="23" max="23" width="5" style="1" bestFit="1" customWidth="1"/>
    <col min="24" max="24" width="7.44140625" style="1" bestFit="1" customWidth="1"/>
    <col min="25" max="16384" width="8.88671875" style="1"/>
  </cols>
  <sheetData>
    <row r="1" spans="1:24">
      <c r="A1" s="17" t="s">
        <v>43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9" t="s">
        <v>0</v>
      </c>
      <c r="B2" s="13" t="s">
        <v>1</v>
      </c>
      <c r="C2" s="13" t="s">
        <v>17</v>
      </c>
      <c r="D2" s="13" t="s">
        <v>2</v>
      </c>
      <c r="E2" s="13" t="s">
        <v>18</v>
      </c>
      <c r="F2" s="13" t="s">
        <v>21</v>
      </c>
      <c r="G2" s="21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6"/>
      <c r="U2" s="13" t="s">
        <v>3</v>
      </c>
      <c r="V2" s="13" t="s">
        <v>4</v>
      </c>
      <c r="W2" s="13" t="s">
        <v>44</v>
      </c>
      <c r="X2" s="13" t="s">
        <v>6</v>
      </c>
    </row>
    <row r="3" spans="1:24">
      <c r="A3" s="20"/>
      <c r="B3" s="14"/>
      <c r="C3" s="14"/>
      <c r="D3" s="14"/>
      <c r="E3" s="14"/>
      <c r="F3" s="14"/>
      <c r="G3" s="7" t="s">
        <v>12</v>
      </c>
      <c r="H3" s="7" t="s">
        <v>22</v>
      </c>
      <c r="I3" s="7" t="s">
        <v>45</v>
      </c>
      <c r="J3" s="7" t="s">
        <v>7</v>
      </c>
      <c r="K3" s="7" t="s">
        <v>8</v>
      </c>
      <c r="L3" s="7" t="s">
        <v>9</v>
      </c>
      <c r="M3" s="7" t="s">
        <v>10</v>
      </c>
      <c r="N3" s="7" t="s">
        <v>23</v>
      </c>
      <c r="O3" s="7" t="s">
        <v>11</v>
      </c>
      <c r="P3" s="7" t="s">
        <v>19</v>
      </c>
      <c r="Q3" s="7" t="s">
        <v>46</v>
      </c>
      <c r="R3" s="7" t="s">
        <v>47</v>
      </c>
      <c r="S3" s="7" t="s">
        <v>24</v>
      </c>
      <c r="T3" s="7" t="s">
        <v>25</v>
      </c>
      <c r="U3" s="14"/>
      <c r="V3" s="14"/>
      <c r="W3" s="14"/>
      <c r="X3" s="14"/>
    </row>
    <row r="4" spans="1:24">
      <c r="A4" s="4">
        <v>45754</v>
      </c>
      <c r="B4" s="5" t="s">
        <v>48</v>
      </c>
      <c r="C4" s="5" t="s">
        <v>49</v>
      </c>
      <c r="D4" s="5" t="s">
        <v>16</v>
      </c>
      <c r="E4" s="5" t="s">
        <v>50</v>
      </c>
      <c r="F4" s="5" t="s">
        <v>51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>
        <v>1250</v>
      </c>
      <c r="U4" s="5">
        <f>SUM(G4:T4)</f>
        <v>1250</v>
      </c>
      <c r="V4" s="5">
        <v>0.7</v>
      </c>
      <c r="W4" s="5">
        <f>U4*V4</f>
        <v>875</v>
      </c>
      <c r="X4" s="5"/>
    </row>
    <row r="5" spans="1:24">
      <c r="A5" s="4">
        <v>45754</v>
      </c>
      <c r="B5" s="5" t="s">
        <v>48</v>
      </c>
      <c r="C5" s="5" t="s">
        <v>49</v>
      </c>
      <c r="D5" s="5" t="s">
        <v>16</v>
      </c>
      <c r="E5" s="5" t="s">
        <v>50</v>
      </c>
      <c r="F5" s="5" t="s">
        <v>52</v>
      </c>
      <c r="G5" s="5"/>
      <c r="H5" s="5"/>
      <c r="I5" s="5"/>
      <c r="J5" s="5"/>
      <c r="K5" s="5"/>
      <c r="L5" s="5"/>
      <c r="M5" s="5"/>
      <c r="N5" s="5">
        <v>225</v>
      </c>
      <c r="O5" s="5"/>
      <c r="P5" s="5">
        <v>270</v>
      </c>
      <c r="Q5" s="5"/>
      <c r="R5" s="5"/>
      <c r="S5" s="5"/>
      <c r="T5" s="5"/>
      <c r="U5" s="5">
        <f>SUM(G5:T5)</f>
        <v>495</v>
      </c>
      <c r="V5" s="5">
        <v>0.6</v>
      </c>
      <c r="W5" s="5">
        <f>U5*V5</f>
        <v>297</v>
      </c>
      <c r="X5" s="6">
        <f>W4+W5</f>
        <v>1172</v>
      </c>
    </row>
    <row r="6" spans="1:24">
      <c r="A6" s="4">
        <v>45754</v>
      </c>
      <c r="B6" s="5" t="s">
        <v>53</v>
      </c>
      <c r="C6" s="5" t="s">
        <v>54</v>
      </c>
      <c r="D6" s="5" t="s">
        <v>16</v>
      </c>
      <c r="E6" s="5" t="s">
        <v>55</v>
      </c>
      <c r="F6" s="5" t="s">
        <v>56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1250</v>
      </c>
      <c r="U6" s="5">
        <f>SUM(G6:T6)</f>
        <v>1250</v>
      </c>
      <c r="V6" s="5">
        <v>0.7</v>
      </c>
      <c r="W6" s="5">
        <f>U6*V6</f>
        <v>875</v>
      </c>
      <c r="X6" s="5"/>
    </row>
    <row r="7" spans="1:24">
      <c r="A7" s="4">
        <v>45754</v>
      </c>
      <c r="B7" s="5" t="s">
        <v>53</v>
      </c>
      <c r="C7" s="5" t="s">
        <v>54</v>
      </c>
      <c r="D7" s="5" t="s">
        <v>16</v>
      </c>
      <c r="E7" s="5" t="s">
        <v>55</v>
      </c>
      <c r="F7" s="5" t="s">
        <v>56</v>
      </c>
      <c r="G7" s="5"/>
      <c r="H7" s="5">
        <v>145</v>
      </c>
      <c r="I7" s="5"/>
      <c r="J7" s="5"/>
      <c r="K7" s="5"/>
      <c r="L7" s="5"/>
      <c r="M7" s="5"/>
      <c r="N7" s="5"/>
      <c r="O7" s="5"/>
      <c r="P7" s="5"/>
      <c r="Q7" s="5"/>
      <c r="R7" s="5">
        <v>205</v>
      </c>
      <c r="S7" s="5">
        <v>205</v>
      </c>
      <c r="T7" s="5"/>
      <c r="U7" s="5">
        <f>SUM(G7:T7)</f>
        <v>555</v>
      </c>
      <c r="V7" s="5">
        <v>0.7</v>
      </c>
      <c r="W7" s="5">
        <f>U7*V7</f>
        <v>388.5</v>
      </c>
      <c r="X7" s="6">
        <f>W6+W7</f>
        <v>1263.5</v>
      </c>
    </row>
    <row r="8" spans="1:24">
      <c r="A8" s="22">
        <v>45784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/>
    </row>
    <row r="9" spans="1:24">
      <c r="A9" s="4">
        <v>45784</v>
      </c>
      <c r="B9" s="5" t="s">
        <v>48</v>
      </c>
      <c r="C9" s="5" t="s">
        <v>57</v>
      </c>
      <c r="D9" s="5" t="s">
        <v>14</v>
      </c>
      <c r="E9" s="5" t="s">
        <v>58</v>
      </c>
      <c r="F9" s="5" t="s">
        <v>59</v>
      </c>
      <c r="G9" s="5"/>
      <c r="H9" s="5"/>
      <c r="I9" s="5"/>
      <c r="J9" s="5"/>
      <c r="K9" s="5"/>
      <c r="L9" s="5">
        <v>235</v>
      </c>
      <c r="M9" s="5">
        <v>165</v>
      </c>
      <c r="N9" s="5"/>
      <c r="O9" s="5">
        <v>105</v>
      </c>
      <c r="P9" s="5">
        <v>60</v>
      </c>
      <c r="Q9" s="5"/>
      <c r="R9" s="5"/>
      <c r="S9" s="5"/>
      <c r="T9" s="5"/>
      <c r="U9" s="5">
        <f t="shared" ref="U9:U14" si="0">SUM(G9:T9)</f>
        <v>565</v>
      </c>
      <c r="V9" s="5">
        <v>1</v>
      </c>
      <c r="W9" s="5">
        <f t="shared" ref="W9:W14" si="1">U9*V9</f>
        <v>565</v>
      </c>
      <c r="X9" s="5"/>
    </row>
    <row r="10" spans="1:24">
      <c r="A10" s="4">
        <v>45784</v>
      </c>
      <c r="B10" s="5" t="s">
        <v>48</v>
      </c>
      <c r="C10" s="5" t="s">
        <v>60</v>
      </c>
      <c r="D10" s="5" t="s">
        <v>16</v>
      </c>
      <c r="E10" s="5" t="s">
        <v>31</v>
      </c>
      <c r="F10" s="5" t="s">
        <v>61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200</v>
      </c>
      <c r="U10" s="5">
        <f t="shared" si="0"/>
        <v>200</v>
      </c>
      <c r="V10" s="5">
        <v>0.6</v>
      </c>
      <c r="W10" s="5">
        <f t="shared" si="1"/>
        <v>120</v>
      </c>
      <c r="X10" s="6">
        <f>W9+W10</f>
        <v>685</v>
      </c>
    </row>
    <row r="11" spans="1:24">
      <c r="A11" s="4">
        <v>45784</v>
      </c>
      <c r="B11" s="5" t="s">
        <v>53</v>
      </c>
      <c r="C11" s="5" t="s">
        <v>37</v>
      </c>
      <c r="D11" s="5" t="s">
        <v>14</v>
      </c>
      <c r="E11" s="5" t="s">
        <v>35</v>
      </c>
      <c r="F11" s="5" t="s">
        <v>62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1100</v>
      </c>
      <c r="U11" s="5">
        <f t="shared" si="0"/>
        <v>1100</v>
      </c>
      <c r="V11" s="5">
        <v>0.6</v>
      </c>
      <c r="W11" s="5">
        <f t="shared" si="1"/>
        <v>660</v>
      </c>
      <c r="X11" s="5"/>
    </row>
    <row r="12" spans="1:24">
      <c r="A12" s="4">
        <v>45784</v>
      </c>
      <c r="B12" s="5" t="s">
        <v>53</v>
      </c>
      <c r="C12" s="5" t="s">
        <v>37</v>
      </c>
      <c r="D12" s="5" t="s">
        <v>14</v>
      </c>
      <c r="E12" s="5" t="s">
        <v>35</v>
      </c>
      <c r="F12" s="5" t="s">
        <v>52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450</v>
      </c>
      <c r="U12" s="5">
        <f t="shared" si="0"/>
        <v>450</v>
      </c>
      <c r="V12" s="5">
        <v>0.6</v>
      </c>
      <c r="W12" s="5">
        <f t="shared" si="1"/>
        <v>270</v>
      </c>
      <c r="X12" s="5"/>
    </row>
    <row r="13" spans="1:24">
      <c r="A13" s="4">
        <v>45784</v>
      </c>
      <c r="B13" s="5" t="s">
        <v>53</v>
      </c>
      <c r="C13" s="5" t="s">
        <v>37</v>
      </c>
      <c r="D13" s="5" t="s">
        <v>14</v>
      </c>
      <c r="E13" s="5" t="s">
        <v>35</v>
      </c>
      <c r="F13" s="5" t="s">
        <v>62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435</v>
      </c>
      <c r="U13" s="5">
        <f t="shared" si="0"/>
        <v>435</v>
      </c>
      <c r="V13" s="5">
        <v>0.6</v>
      </c>
      <c r="W13" s="5">
        <f t="shared" si="1"/>
        <v>261</v>
      </c>
      <c r="X13" s="5"/>
    </row>
    <row r="14" spans="1:24">
      <c r="A14" s="4">
        <v>45784</v>
      </c>
      <c r="B14" s="5" t="s">
        <v>53</v>
      </c>
      <c r="C14" s="5" t="s">
        <v>39</v>
      </c>
      <c r="D14" s="5" t="s">
        <v>15</v>
      </c>
      <c r="E14" s="5"/>
      <c r="F14" s="5" t="s">
        <v>63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40</v>
      </c>
      <c r="U14" s="5">
        <f t="shared" si="0"/>
        <v>40</v>
      </c>
      <c r="V14" s="5">
        <v>0.6</v>
      </c>
      <c r="W14" s="5">
        <f t="shared" si="1"/>
        <v>24</v>
      </c>
      <c r="X14" s="6">
        <f>W11+W12+W13+W14</f>
        <v>1215</v>
      </c>
    </row>
    <row r="15" spans="1:24">
      <c r="A15" s="22">
        <v>45845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/>
    </row>
    <row r="16" spans="1:24">
      <c r="A16" s="4">
        <v>45845</v>
      </c>
      <c r="B16" s="5" t="s">
        <v>48</v>
      </c>
      <c r="C16" s="5" t="s">
        <v>37</v>
      </c>
      <c r="D16" s="5" t="s">
        <v>14</v>
      </c>
      <c r="E16" s="5" t="s">
        <v>58</v>
      </c>
      <c r="F16" s="5" t="s">
        <v>59</v>
      </c>
      <c r="G16" s="5"/>
      <c r="H16" s="5"/>
      <c r="I16" s="5"/>
      <c r="J16" s="5">
        <v>225</v>
      </c>
      <c r="K16" s="5">
        <v>295</v>
      </c>
      <c r="L16" s="5"/>
      <c r="M16" s="5"/>
      <c r="N16" s="5"/>
      <c r="O16" s="5"/>
      <c r="P16" s="5"/>
      <c r="Q16" s="5"/>
      <c r="R16" s="5"/>
      <c r="S16" s="5"/>
      <c r="T16" s="5"/>
      <c r="U16" s="5">
        <f>SUM(G16:T16)</f>
        <v>520</v>
      </c>
      <c r="V16" s="5">
        <v>1</v>
      </c>
      <c r="W16" s="5">
        <f>U16*V16</f>
        <v>520</v>
      </c>
      <c r="X16" s="5"/>
    </row>
    <row r="17" spans="1:24">
      <c r="A17" s="4">
        <v>45845</v>
      </c>
      <c r="B17" s="5" t="s">
        <v>48</v>
      </c>
      <c r="C17" s="5" t="s">
        <v>37</v>
      </c>
      <c r="D17" s="5" t="s">
        <v>14</v>
      </c>
      <c r="E17" s="5" t="s">
        <v>35</v>
      </c>
      <c r="F17" s="5" t="s">
        <v>59</v>
      </c>
      <c r="G17" s="5"/>
      <c r="H17" s="5"/>
      <c r="I17" s="5"/>
      <c r="J17" s="5"/>
      <c r="K17" s="5"/>
      <c r="L17" s="5"/>
      <c r="M17" s="5">
        <v>165</v>
      </c>
      <c r="N17" s="5"/>
      <c r="O17" s="5">
        <v>105</v>
      </c>
      <c r="P17" s="5">
        <v>60</v>
      </c>
      <c r="Q17" s="5"/>
      <c r="R17" s="5"/>
      <c r="S17" s="5"/>
      <c r="T17" s="5"/>
      <c r="U17" s="5">
        <f>SUM(G17:T17)</f>
        <v>330</v>
      </c>
      <c r="V17" s="5">
        <v>1</v>
      </c>
      <c r="W17" s="5">
        <f>U17*V17</f>
        <v>330</v>
      </c>
      <c r="X17" s="6">
        <f>W16+W17</f>
        <v>850</v>
      </c>
    </row>
    <row r="18" spans="1:24">
      <c r="A18" s="22">
        <v>45876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4"/>
    </row>
    <row r="19" spans="1:24">
      <c r="A19" s="4">
        <v>45876</v>
      </c>
      <c r="B19" s="5" t="s">
        <v>48</v>
      </c>
      <c r="C19" s="5" t="s">
        <v>37</v>
      </c>
      <c r="D19" s="5" t="s">
        <v>14</v>
      </c>
      <c r="E19" s="5" t="s">
        <v>35</v>
      </c>
      <c r="F19" s="5" t="s">
        <v>59</v>
      </c>
      <c r="G19" s="5"/>
      <c r="H19" s="5"/>
      <c r="I19" s="5"/>
      <c r="J19" s="5">
        <v>225</v>
      </c>
      <c r="K19" s="5">
        <v>295</v>
      </c>
      <c r="L19" s="5">
        <v>235</v>
      </c>
      <c r="M19" s="5"/>
      <c r="N19" s="5"/>
      <c r="O19" s="5"/>
      <c r="P19" s="5"/>
      <c r="Q19" s="5"/>
      <c r="R19" s="5"/>
      <c r="S19" s="5"/>
      <c r="T19" s="5"/>
      <c r="U19" s="5">
        <f>SUM(G19:T19)</f>
        <v>755</v>
      </c>
      <c r="V19" s="5">
        <v>1</v>
      </c>
      <c r="W19" s="5">
        <f>U19*V19</f>
        <v>755</v>
      </c>
      <c r="X19" s="6">
        <f>W19</f>
        <v>755</v>
      </c>
    </row>
    <row r="20" spans="1:24">
      <c r="A20" s="22">
        <v>45907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4"/>
    </row>
    <row r="21" spans="1:24">
      <c r="A21" s="4">
        <v>45907</v>
      </c>
      <c r="B21" s="5" t="s">
        <v>48</v>
      </c>
      <c r="C21" s="5" t="s">
        <v>49</v>
      </c>
      <c r="D21" s="5" t="s">
        <v>16</v>
      </c>
      <c r="E21" s="5" t="s">
        <v>50</v>
      </c>
      <c r="F21" s="5" t="s">
        <v>64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1000</v>
      </c>
      <c r="U21" s="5">
        <f>SUM(G21:T21)</f>
        <v>1000</v>
      </c>
      <c r="V21" s="5">
        <v>1</v>
      </c>
      <c r="W21" s="5">
        <f>U21*V21</f>
        <v>1000</v>
      </c>
      <c r="X21" s="6">
        <f>W21</f>
        <v>1000</v>
      </c>
    </row>
    <row r="22" spans="1:24">
      <c r="A22" s="4">
        <v>45907</v>
      </c>
      <c r="B22" s="5" t="s">
        <v>53</v>
      </c>
      <c r="C22" s="5" t="s">
        <v>37</v>
      </c>
      <c r="D22" s="5" t="s">
        <v>14</v>
      </c>
      <c r="E22" s="5" t="s">
        <v>35</v>
      </c>
      <c r="F22" s="5" t="s">
        <v>52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650</v>
      </c>
      <c r="U22" s="5">
        <f>SUM(G22:T22)</f>
        <v>650</v>
      </c>
      <c r="V22" s="5">
        <v>0.6</v>
      </c>
      <c r="W22" s="5">
        <f>U22*V22</f>
        <v>390</v>
      </c>
      <c r="X22" s="5"/>
    </row>
    <row r="23" spans="1:24">
      <c r="A23" s="4">
        <v>45907</v>
      </c>
      <c r="B23" s="5" t="s">
        <v>53</v>
      </c>
      <c r="C23" s="5" t="s">
        <v>39</v>
      </c>
      <c r="D23" s="5" t="s">
        <v>15</v>
      </c>
      <c r="E23" s="5"/>
      <c r="F23" s="5" t="s">
        <v>63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246</v>
      </c>
      <c r="U23" s="5">
        <f>SUM(G23:T23)</f>
        <v>246</v>
      </c>
      <c r="V23" s="5">
        <v>0.7</v>
      </c>
      <c r="W23" s="5">
        <f>U23*V23</f>
        <v>172.2</v>
      </c>
      <c r="X23" s="5"/>
    </row>
    <row r="24" spans="1:24">
      <c r="A24" s="4">
        <v>45907</v>
      </c>
      <c r="B24" s="5" t="s">
        <v>53</v>
      </c>
      <c r="C24" s="5" t="s">
        <v>39</v>
      </c>
      <c r="D24" s="5" t="s">
        <v>15</v>
      </c>
      <c r="E24" s="5" t="s">
        <v>31</v>
      </c>
      <c r="F24" s="5" t="s">
        <v>65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525</v>
      </c>
      <c r="U24" s="5">
        <f>SUM(G24:T24)</f>
        <v>525</v>
      </c>
      <c r="V24" s="5">
        <v>0.9</v>
      </c>
      <c r="W24" s="5">
        <f>U24*V24</f>
        <v>472.5</v>
      </c>
      <c r="X24" s="6">
        <f>W22+W23+W24</f>
        <v>1034.7</v>
      </c>
    </row>
    <row r="25" spans="1:24">
      <c r="A25" s="22">
        <v>45937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4"/>
    </row>
    <row r="26" spans="1:24">
      <c r="A26" s="4">
        <v>45937</v>
      </c>
      <c r="B26" s="5" t="s">
        <v>48</v>
      </c>
      <c r="C26" s="5" t="s">
        <v>49</v>
      </c>
      <c r="D26" s="5" t="s">
        <v>16</v>
      </c>
      <c r="E26" s="5" t="s">
        <v>50</v>
      </c>
      <c r="F26" s="5" t="s">
        <v>66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500</v>
      </c>
      <c r="U26" s="5">
        <f>SUM(G26:T26)</f>
        <v>500</v>
      </c>
      <c r="V26" s="5">
        <v>0.5</v>
      </c>
      <c r="W26" s="5">
        <f>U26*V26</f>
        <v>250</v>
      </c>
      <c r="X26" s="6">
        <f>W26</f>
        <v>250</v>
      </c>
    </row>
    <row r="27" spans="1:24">
      <c r="A27" s="4">
        <v>45937</v>
      </c>
      <c r="B27" s="5" t="s">
        <v>53</v>
      </c>
      <c r="C27" s="5" t="s">
        <v>49</v>
      </c>
      <c r="D27" s="5" t="s">
        <v>16</v>
      </c>
      <c r="E27" s="5" t="s">
        <v>50</v>
      </c>
      <c r="F27" s="5" t="s">
        <v>64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1250</v>
      </c>
      <c r="U27" s="5">
        <f>SUM(G27:T27)</f>
        <v>1250</v>
      </c>
      <c r="V27" s="5">
        <v>1</v>
      </c>
      <c r="W27" s="5">
        <f>U27*V27</f>
        <v>1250</v>
      </c>
      <c r="X27" s="5"/>
    </row>
    <row r="28" spans="1:24">
      <c r="A28" s="4">
        <v>45937</v>
      </c>
      <c r="B28" s="5" t="s">
        <v>53</v>
      </c>
      <c r="C28" s="5" t="s">
        <v>49</v>
      </c>
      <c r="D28" s="5" t="s">
        <v>16</v>
      </c>
      <c r="E28" s="5" t="s">
        <v>35</v>
      </c>
      <c r="F28" s="5" t="s">
        <v>64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186</v>
      </c>
      <c r="U28" s="5">
        <f>SUM(G28:T28)</f>
        <v>186</v>
      </c>
      <c r="V28" s="5">
        <v>1</v>
      </c>
      <c r="W28" s="5">
        <f>U28*V28</f>
        <v>186</v>
      </c>
      <c r="X28" s="6">
        <f>W27+W28</f>
        <v>1436</v>
      </c>
    </row>
  </sheetData>
  <autoFilter ref="A2:F28" xr:uid="{5D231D81-E038-4422-A888-D658BDAF31FA}"/>
  <mergeCells count="17">
    <mergeCell ref="A25:X25"/>
    <mergeCell ref="W2:W3"/>
    <mergeCell ref="X2:X3"/>
    <mergeCell ref="A8:X8"/>
    <mergeCell ref="A15:X15"/>
    <mergeCell ref="A18:X18"/>
    <mergeCell ref="A20:X20"/>
    <mergeCell ref="A1:X1"/>
    <mergeCell ref="A2:A3"/>
    <mergeCell ref="B2:B3"/>
    <mergeCell ref="C2:C3"/>
    <mergeCell ref="D2:D3"/>
    <mergeCell ref="E2:E3"/>
    <mergeCell ref="F2:F3"/>
    <mergeCell ref="G2:T2"/>
    <mergeCell ref="U2:U3"/>
    <mergeCell ref="V2:V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A948-F990-4D2C-8072-CFEC029B6021}">
  <dimension ref="A1:V15"/>
  <sheetViews>
    <sheetView workbookViewId="0">
      <pane ySplit="3" topLeftCell="A4" activePane="bottomLeft" state="frozen"/>
      <selection pane="bottomLeft" activeCell="F11" sqref="F11"/>
    </sheetView>
  </sheetViews>
  <sheetFormatPr defaultRowHeight="14.4"/>
  <cols>
    <col min="1" max="1" width="12.88671875" style="1" customWidth="1"/>
    <col min="2" max="2" width="6.109375" style="1" bestFit="1" customWidth="1"/>
    <col min="3" max="3" width="12.109375" style="1" customWidth="1"/>
    <col min="4" max="4" width="8.109375" style="1" customWidth="1"/>
    <col min="5" max="5" width="11.21875" style="1" bestFit="1" customWidth="1"/>
    <col min="6" max="6" width="12.33203125" style="1" bestFit="1" customWidth="1"/>
    <col min="7" max="7" width="3.88671875" style="1" bestFit="1" customWidth="1"/>
    <col min="8" max="9" width="3.88671875" style="1" customWidth="1"/>
    <col min="10" max="11" width="3.88671875" style="1" bestFit="1" customWidth="1"/>
    <col min="12" max="12" width="4" style="1" bestFit="1" customWidth="1"/>
    <col min="13" max="13" width="4.88671875" style="1" bestFit="1" customWidth="1"/>
    <col min="14" max="14" width="4.88671875" style="1" customWidth="1"/>
    <col min="15" max="15" width="5.88671875" style="1" bestFit="1" customWidth="1"/>
    <col min="16" max="16" width="3" style="1" bestFit="1" customWidth="1"/>
    <col min="17" max="17" width="5" style="1" bestFit="1" customWidth="1"/>
    <col min="18" max="18" width="3.109375" style="1" bestFit="1" customWidth="1"/>
    <col min="19" max="19" width="6.21875" style="1" customWidth="1"/>
    <col min="20" max="20" width="5.33203125" style="1" bestFit="1" customWidth="1"/>
    <col min="21" max="21" width="6.44140625" style="1" bestFit="1" customWidth="1"/>
    <col min="22" max="22" width="7.44140625" style="1" bestFit="1" customWidth="1"/>
    <col min="23" max="16384" width="8.88671875" style="1"/>
  </cols>
  <sheetData>
    <row r="1" spans="1:22">
      <c r="A1" s="10" t="s">
        <v>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>
      <c r="A2" s="11" t="s">
        <v>0</v>
      </c>
      <c r="B2" s="11" t="s">
        <v>1</v>
      </c>
      <c r="C2" s="13" t="s">
        <v>17</v>
      </c>
      <c r="D2" s="13" t="s">
        <v>2</v>
      </c>
      <c r="E2" s="13" t="s">
        <v>18</v>
      </c>
      <c r="F2" s="13" t="s">
        <v>21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  <c r="S2" s="13" t="s">
        <v>3</v>
      </c>
      <c r="T2" s="13" t="s">
        <v>4</v>
      </c>
      <c r="U2" s="13" t="s">
        <v>5</v>
      </c>
      <c r="V2" s="13" t="s">
        <v>6</v>
      </c>
    </row>
    <row r="3" spans="1:22">
      <c r="A3" s="12"/>
      <c r="B3" s="12"/>
      <c r="C3" s="14"/>
      <c r="D3" s="14"/>
      <c r="E3" s="14"/>
      <c r="F3" s="14"/>
      <c r="G3" s="2" t="s">
        <v>12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22</v>
      </c>
      <c r="M3" s="2" t="s">
        <v>23</v>
      </c>
      <c r="N3" s="2" t="s">
        <v>11</v>
      </c>
      <c r="O3" s="2" t="s">
        <v>19</v>
      </c>
      <c r="P3" s="2" t="s">
        <v>24</v>
      </c>
      <c r="Q3" s="2" t="s">
        <v>25</v>
      </c>
      <c r="R3" s="3" t="s">
        <v>13</v>
      </c>
      <c r="S3" s="14"/>
      <c r="T3" s="14"/>
      <c r="U3" s="14"/>
      <c r="V3" s="14"/>
    </row>
    <row r="4" spans="1:22">
      <c r="A4" s="4">
        <v>45754</v>
      </c>
      <c r="B4" s="5" t="s">
        <v>26</v>
      </c>
      <c r="C4" s="5" t="s">
        <v>27</v>
      </c>
      <c r="D4" s="5" t="s">
        <v>28</v>
      </c>
      <c r="E4" s="5" t="s">
        <v>31</v>
      </c>
      <c r="F4" s="5" t="s">
        <v>29</v>
      </c>
      <c r="G4" s="5"/>
      <c r="H4" s="5"/>
      <c r="I4" s="5"/>
      <c r="J4" s="5">
        <v>150</v>
      </c>
      <c r="K4" s="5"/>
      <c r="L4" s="5"/>
      <c r="M4" s="5"/>
      <c r="N4" s="5"/>
      <c r="O4" s="5"/>
      <c r="P4" s="5"/>
      <c r="Q4" s="5"/>
      <c r="R4" s="5"/>
      <c r="S4" s="5">
        <f>SUM(G4:R4)</f>
        <v>150</v>
      </c>
      <c r="T4" s="5">
        <v>1.2</v>
      </c>
      <c r="U4" s="5">
        <f>S4*T4</f>
        <v>180</v>
      </c>
      <c r="V4" s="5"/>
    </row>
    <row r="5" spans="1:22">
      <c r="A5" s="4">
        <v>45754</v>
      </c>
      <c r="B5" s="5" t="s">
        <v>26</v>
      </c>
      <c r="C5" s="5" t="s">
        <v>30</v>
      </c>
      <c r="D5" s="5" t="s">
        <v>16</v>
      </c>
      <c r="E5" s="5" t="s">
        <v>31</v>
      </c>
      <c r="F5" s="5" t="s">
        <v>32</v>
      </c>
      <c r="G5" s="5"/>
      <c r="H5" s="5"/>
      <c r="I5" s="5"/>
      <c r="J5" s="5"/>
      <c r="K5" s="5"/>
      <c r="L5" s="5">
        <v>200</v>
      </c>
      <c r="M5" s="5">
        <v>230</v>
      </c>
      <c r="N5" s="5"/>
      <c r="O5" s="5">
        <v>260</v>
      </c>
      <c r="P5" s="5"/>
      <c r="Q5" s="5"/>
      <c r="R5" s="5"/>
      <c r="S5" s="5">
        <f>SUM(G5:R5)</f>
        <v>690</v>
      </c>
      <c r="T5" s="5">
        <v>1.8</v>
      </c>
      <c r="U5" s="5">
        <f>S5*T5</f>
        <v>1242</v>
      </c>
      <c r="V5" s="6">
        <f>U4+U5</f>
        <v>1422</v>
      </c>
    </row>
    <row r="6" spans="1:22">
      <c r="A6" s="8">
        <v>45784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>
      <c r="A7" s="4">
        <v>45784</v>
      </c>
      <c r="B7" s="5" t="s">
        <v>26</v>
      </c>
      <c r="C7" s="5" t="s">
        <v>33</v>
      </c>
      <c r="D7" s="5" t="s">
        <v>34</v>
      </c>
      <c r="E7" s="5" t="s">
        <v>35</v>
      </c>
      <c r="F7" s="5" t="s">
        <v>36</v>
      </c>
      <c r="G7" s="5"/>
      <c r="H7" s="5"/>
      <c r="I7" s="5">
        <v>273</v>
      </c>
      <c r="J7" s="5">
        <v>125</v>
      </c>
      <c r="K7" s="5"/>
      <c r="L7" s="5"/>
      <c r="M7" s="5"/>
      <c r="N7" s="5">
        <v>259</v>
      </c>
      <c r="O7" s="5">
        <v>180</v>
      </c>
      <c r="P7" s="5"/>
      <c r="Q7" s="5"/>
      <c r="R7" s="5"/>
      <c r="S7" s="5">
        <f>SUM(G7:R7)</f>
        <v>837</v>
      </c>
      <c r="T7" s="5">
        <v>0.9</v>
      </c>
      <c r="U7" s="5">
        <f>S7*T7</f>
        <v>753.30000000000007</v>
      </c>
      <c r="V7" s="6">
        <f>U7</f>
        <v>753.30000000000007</v>
      </c>
    </row>
    <row r="8" spans="1:22">
      <c r="A8" s="8">
        <v>45845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>
      <c r="A9" s="4">
        <v>45845</v>
      </c>
      <c r="B9" s="5" t="s">
        <v>26</v>
      </c>
      <c r="C9" s="5" t="s">
        <v>33</v>
      </c>
      <c r="D9" s="5" t="s">
        <v>34</v>
      </c>
      <c r="E9" s="5" t="s">
        <v>35</v>
      </c>
      <c r="F9" s="5" t="s">
        <v>36</v>
      </c>
      <c r="G9" s="5"/>
      <c r="H9" s="5">
        <v>240</v>
      </c>
      <c r="I9" s="5">
        <v>70</v>
      </c>
      <c r="J9" s="5">
        <v>246</v>
      </c>
      <c r="K9" s="5">
        <v>327</v>
      </c>
      <c r="L9" s="5"/>
      <c r="M9" s="5"/>
      <c r="N9" s="5"/>
      <c r="O9" s="5"/>
      <c r="P9" s="5"/>
      <c r="Q9" s="5"/>
      <c r="R9" s="5"/>
      <c r="S9" s="5">
        <f>SUM(G9:R9)</f>
        <v>883</v>
      </c>
      <c r="T9" s="5">
        <v>0.9</v>
      </c>
      <c r="U9" s="5">
        <f>S9*T9</f>
        <v>794.7</v>
      </c>
      <c r="V9" s="6">
        <f>U9</f>
        <v>794.7</v>
      </c>
    </row>
    <row r="10" spans="1:22">
      <c r="A10" s="8">
        <v>45876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>
      <c r="A11" s="4">
        <v>45876</v>
      </c>
      <c r="B11" s="5" t="s">
        <v>26</v>
      </c>
      <c r="C11" s="5" t="s">
        <v>37</v>
      </c>
      <c r="D11" s="5" t="s">
        <v>14</v>
      </c>
      <c r="E11" s="5" t="s">
        <v>35</v>
      </c>
      <c r="F11" s="5" t="s">
        <v>36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1100</v>
      </c>
      <c r="R11" s="5"/>
      <c r="S11" s="5">
        <f>SUM(G11:R11)</f>
        <v>1100</v>
      </c>
      <c r="T11" s="5">
        <v>0.6</v>
      </c>
      <c r="U11" s="5">
        <f>S11*T11</f>
        <v>660</v>
      </c>
      <c r="V11" s="6">
        <f>U11</f>
        <v>660</v>
      </c>
    </row>
    <row r="12" spans="1:22">
      <c r="A12" s="8" t="s">
        <v>38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>
      <c r="A13" s="4">
        <v>45937</v>
      </c>
      <c r="B13" s="5" t="s">
        <v>26</v>
      </c>
      <c r="C13" s="5" t="s">
        <v>39</v>
      </c>
      <c r="D13" s="5" t="s">
        <v>34</v>
      </c>
      <c r="E13" s="5" t="s">
        <v>40</v>
      </c>
      <c r="F13" s="5" t="s">
        <v>36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540</v>
      </c>
      <c r="R13" s="5"/>
      <c r="S13" s="5">
        <f>SUM(G13:R13)</f>
        <v>540</v>
      </c>
      <c r="T13" s="5">
        <v>0.9</v>
      </c>
      <c r="U13" s="5">
        <f>S13*T13</f>
        <v>486</v>
      </c>
      <c r="V13" s="5"/>
    </row>
    <row r="14" spans="1:22">
      <c r="A14" s="4">
        <v>45937</v>
      </c>
      <c r="B14" s="5" t="s">
        <v>26</v>
      </c>
      <c r="C14" s="5" t="s">
        <v>39</v>
      </c>
      <c r="D14" s="5" t="s">
        <v>14</v>
      </c>
      <c r="E14" s="5" t="s">
        <v>41</v>
      </c>
      <c r="F14" s="5" t="s">
        <v>42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100</v>
      </c>
      <c r="R14" s="5"/>
      <c r="S14" s="5">
        <f>SUM(G14:R14)</f>
        <v>100</v>
      </c>
      <c r="T14" s="5">
        <v>1.8</v>
      </c>
      <c r="U14" s="5">
        <f>S14*T14</f>
        <v>180</v>
      </c>
      <c r="V14" s="5"/>
    </row>
    <row r="15" spans="1:22">
      <c r="A15" s="4">
        <v>45937</v>
      </c>
      <c r="B15" s="5" t="s">
        <v>26</v>
      </c>
      <c r="C15" s="5" t="s">
        <v>39</v>
      </c>
      <c r="D15" s="5" t="s">
        <v>28</v>
      </c>
      <c r="E15" s="5" t="s">
        <v>41</v>
      </c>
      <c r="F15" s="5" t="s">
        <v>29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75</v>
      </c>
      <c r="R15" s="5"/>
      <c r="S15" s="5">
        <f>SUM(G15:R15)</f>
        <v>75</v>
      </c>
      <c r="T15" s="5">
        <v>1.2</v>
      </c>
      <c r="U15" s="5">
        <f>S15*T15</f>
        <v>90</v>
      </c>
      <c r="V15" s="6">
        <f>U13+U14+U15</f>
        <v>756</v>
      </c>
    </row>
  </sheetData>
  <mergeCells count="16">
    <mergeCell ref="A12:V12"/>
    <mergeCell ref="A1:V1"/>
    <mergeCell ref="A2:A3"/>
    <mergeCell ref="B2:B3"/>
    <mergeCell ref="C2:C3"/>
    <mergeCell ref="D2:D3"/>
    <mergeCell ref="E2:E3"/>
    <mergeCell ref="F2:F3"/>
    <mergeCell ref="G2:R2"/>
    <mergeCell ref="S2:S3"/>
    <mergeCell ref="T2:T3"/>
    <mergeCell ref="U2:U3"/>
    <mergeCell ref="V2:V3"/>
    <mergeCell ref="A6:V6"/>
    <mergeCell ref="A8:V8"/>
    <mergeCell ref="A10:V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4-10J</vt:lpstr>
      <vt:lpstr>4-10ju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UZER</dc:creator>
  <cp:lastModifiedBy>sharveshwar S</cp:lastModifiedBy>
  <dcterms:created xsi:type="dcterms:W3CDTF">2015-06-05T18:17:20Z</dcterms:created>
  <dcterms:modified xsi:type="dcterms:W3CDTF">2026-08-12T17:51:00Z</dcterms:modified>
</cp:coreProperties>
</file>